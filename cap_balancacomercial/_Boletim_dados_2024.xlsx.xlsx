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orenzo Costa\Desktop\Boletim 2024\cap_balancacomercial\"/>
    </mc:Choice>
  </mc:AlternateContent>
  <xr:revisionPtr revIDLastSave="0" documentId="13_ncr:1_{11263997-7CD6-4E41-A382-D47945BAE3EC}" xr6:coauthVersionLast="47" xr6:coauthVersionMax="47" xr10:uidLastSave="{00000000-0000-0000-0000-000000000000}"/>
  <bookViews>
    <workbookView xWindow="-23148" yWindow="-108" windowWidth="23256" windowHeight="12456" tabRatio="500" xr2:uid="{00000000-000D-0000-FFFF-FFFF00000000}"/>
  </bookViews>
  <sheets>
    <sheet name="BOLETIM 2024" sheetId="1" r:id="rId1"/>
    <sheet name="export" sheetId="2" r:id="rId2"/>
    <sheet name="import" sheetId="3" r:id="rId3"/>
    <sheet name="saldo" sheetId="4" r:id="rId4"/>
    <sheet name="produtos_export" sheetId="5" r:id="rId5"/>
    <sheet name="produtos_impor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0" i="1" l="1"/>
  <c r="B14" i="4"/>
  <c r="B13" i="4"/>
  <c r="G68" i="1"/>
  <c r="I67" i="1"/>
  <c r="G67" i="1"/>
  <c r="D67" i="1"/>
  <c r="G66" i="1"/>
  <c r="G65" i="1"/>
  <c r="G64" i="1"/>
  <c r="G63" i="1"/>
  <c r="G62" i="1"/>
  <c r="I57" i="1"/>
  <c r="D57" i="1"/>
  <c r="B57" i="1"/>
  <c r="I56" i="1"/>
  <c r="D56" i="1"/>
  <c r="B56" i="1"/>
  <c r="D55" i="1"/>
  <c r="B55" i="1"/>
  <c r="D54" i="1"/>
  <c r="B54" i="1"/>
  <c r="H53" i="1"/>
  <c r="D53" i="1"/>
  <c r="B53" i="1"/>
  <c r="D52" i="1"/>
  <c r="B52" i="1"/>
  <c r="B51" i="1"/>
  <c r="I45" i="1"/>
  <c r="D45" i="1"/>
  <c r="I33" i="1"/>
  <c r="I23" i="1"/>
  <c r="D23" i="1"/>
  <c r="I22" i="1"/>
  <c r="D22" i="1"/>
  <c r="I21" i="1"/>
  <c r="D21" i="1"/>
  <c r="I20" i="1"/>
  <c r="D20" i="1"/>
  <c r="I19" i="1"/>
  <c r="D19" i="1"/>
  <c r="I18" i="1"/>
  <c r="D18" i="1"/>
  <c r="M9" i="1"/>
  <c r="L9" i="1"/>
  <c r="I9" i="1"/>
  <c r="D9" i="1"/>
  <c r="M8" i="1"/>
  <c r="L8" i="1"/>
  <c r="I8" i="1"/>
  <c r="D8" i="1"/>
  <c r="M7" i="1"/>
  <c r="L7" i="1"/>
  <c r="I7" i="1"/>
  <c r="D7" i="1"/>
  <c r="M6" i="1"/>
  <c r="L6" i="1"/>
  <c r="I6" i="1"/>
  <c r="D6" i="1"/>
  <c r="M5" i="1"/>
  <c r="L5" i="1"/>
  <c r="I5" i="1"/>
  <c r="D5" i="1"/>
  <c r="M4" i="1"/>
  <c r="L4" i="1"/>
  <c r="I4" i="1"/>
  <c r="D4" i="1"/>
  <c r="L3" i="1"/>
</calcChain>
</file>

<file path=xl/sharedStrings.xml><?xml version="1.0" encoding="utf-8"?>
<sst xmlns="http://schemas.openxmlformats.org/spreadsheetml/2006/main" count="184" uniqueCount="64">
  <si>
    <t>exportação</t>
  </si>
  <si>
    <t>Importação</t>
  </si>
  <si>
    <t>Saldo</t>
  </si>
  <si>
    <t>Ano</t>
  </si>
  <si>
    <t>Valor(M/US$)</t>
  </si>
  <si>
    <t>Variação(%)</t>
  </si>
  <si>
    <t>Variação(em M /US$)</t>
  </si>
  <si>
    <t>Valor(em M/US$)</t>
  </si>
  <si>
    <t>Valor(em M)</t>
  </si>
  <si>
    <t>Variação(em M)</t>
  </si>
  <si>
    <t xml:space="preserve">       Produtos exportados jan/dez</t>
  </si>
  <si>
    <t>Importados/ adubos ou fertilizantes químicos ( exceto fertilizantes brutos)</t>
  </si>
  <si>
    <t>Soja</t>
  </si>
  <si>
    <t>Anos</t>
  </si>
  <si>
    <t xml:space="preserve">Variação(em M /US$) </t>
  </si>
  <si>
    <t>Valor</t>
  </si>
  <si>
    <t>Carne bovina ( Fresca / congelada ou refrigerada)</t>
  </si>
  <si>
    <t xml:space="preserve">Lentes e itens óticos </t>
  </si>
  <si>
    <t>Variação(em M/ US$)</t>
  </si>
  <si>
    <t>52.1</t>
  </si>
  <si>
    <t>60.7</t>
  </si>
  <si>
    <t>2.88</t>
  </si>
  <si>
    <t>83.3</t>
  </si>
  <si>
    <t>-8.92</t>
  </si>
  <si>
    <t>11.4</t>
  </si>
  <si>
    <t>37.1</t>
  </si>
  <si>
    <t>9.42</t>
  </si>
  <si>
    <t>Milho não moído, exceto millho doce</t>
  </si>
  <si>
    <t>Produtos residuais de petróleo e materiais relacionados</t>
  </si>
  <si>
    <t>63.02</t>
  </si>
  <si>
    <t>42.4</t>
  </si>
  <si>
    <t>-10.9</t>
  </si>
  <si>
    <t>291.8</t>
  </si>
  <si>
    <t>Demais produtos</t>
  </si>
  <si>
    <t>Gorduras e Óleos Vegetais, em bruto, refinados ou fracionados</t>
  </si>
  <si>
    <t>participação  3%</t>
  </si>
  <si>
    <t>Variação (%)</t>
  </si>
  <si>
    <t>Farelos de Soja e outros alimentos para Animais</t>
  </si>
  <si>
    <t>Variaçã(%)</t>
  </si>
  <si>
    <t>PAÍSES 2024</t>
  </si>
  <si>
    <t>Participação (%)</t>
  </si>
  <si>
    <t>Valor(em M /US$)</t>
  </si>
  <si>
    <t>Participação(%)</t>
  </si>
  <si>
    <t>China</t>
  </si>
  <si>
    <t>Espanha</t>
  </si>
  <si>
    <t>Estados Unidos</t>
  </si>
  <si>
    <t>Suíça</t>
  </si>
  <si>
    <t>Rússia</t>
  </si>
  <si>
    <t>Egito</t>
  </si>
  <si>
    <t>Indonésia</t>
  </si>
  <si>
    <t>Turquia</t>
  </si>
  <si>
    <t>Canadá</t>
  </si>
  <si>
    <t>data</t>
  </si>
  <si>
    <t>valor</t>
  </si>
  <si>
    <t>produto</t>
  </si>
  <si>
    <t>Soja; Carne bovina fresca, refrigerada ou congelada; Milho não moído, exceto milho doce;   Farelos de soja e outros alimentos para animais (excluídos cereais não moídos), farinhas de carnes e outros animais;  Matérias brutas de animais</t>
  </si>
  <si>
    <t>Carne bovina</t>
  </si>
  <si>
    <t>Milho não moído</t>
  </si>
  <si>
    <t>Farelo de soja e outros alimentos para nimais</t>
  </si>
  <si>
    <t>Óleos combustíveis de petróleo ou de mineraisbetuminosos (exceto óleos brutos); Adubos ou fertilizantes químicos (exceto fertilizantesbrutos); Produtos residuais de petróleo e materiais relacionados; Demais produtos - Indústria de Transformação; Lentes e itens óticos</t>
  </si>
  <si>
    <t>Adubos ou fertilizantes</t>
  </si>
  <si>
    <t>Produtos residuais de petróleo</t>
  </si>
  <si>
    <t xml:space="preserve">Demais Produtos </t>
  </si>
  <si>
    <t xml:space="preserve">Demais produtos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</si>
</sst>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&quot;\ #,##0.00"/>
    <numFmt numFmtId="165" formatCode="0.00_ "/>
    <numFmt numFmtId="166" formatCode="0.0%"/>
    <numFmt numFmtId="167" formatCode="d\.m"/>
  </numFmts>
  <fonts count="8">
    <font>
      <sz val="10"/>
      <color rgb="FF000000"/>
      <name val="Arial"/>
      <charset val="1"/>
    </font>
    <font>
      <sz val="10"/>
      <color rgb="FF000000"/>
      <name val="Arial"/>
      <charset val="134"/>
    </font>
    <font>
      <sz val="11"/>
      <color rgb="FF000000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sz val="10"/>
      <color rgb="FFFF0000"/>
      <name val="Arial"/>
      <charset val="134"/>
    </font>
    <font>
      <sz val="12"/>
      <color rgb="FF000000"/>
      <name val="Arial"/>
      <charset val="134"/>
    </font>
    <font>
      <sz val="10"/>
      <color theme="1"/>
      <name val="Calibri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1C232"/>
        <bgColor rgb="FFFFA766"/>
      </patternFill>
    </fill>
    <fill>
      <patternFill patternType="solid">
        <fgColor rgb="FF6FA8DC"/>
        <bgColor rgb="FF46BDC6"/>
      </patternFill>
    </fill>
    <fill>
      <patternFill patternType="solid">
        <fgColor rgb="FFFFC499"/>
        <bgColor rgb="FFFDE49A"/>
      </patternFill>
    </fill>
    <fill>
      <patternFill patternType="solid">
        <fgColor rgb="FF8FD7DC"/>
        <bgColor rgb="FFB3CEFA"/>
      </patternFill>
    </fill>
    <fill>
      <patternFill patternType="solid">
        <fgColor rgb="FFFDE49A"/>
        <bgColor rgb="FFFEF1CC"/>
      </patternFill>
    </fill>
    <fill>
      <patternFill patternType="solid">
        <fgColor rgb="FFF28E85"/>
        <bgColor rgb="FFFFA766"/>
      </patternFill>
    </fill>
    <fill>
      <patternFill patternType="solid">
        <fgColor rgb="FFB3CEFA"/>
        <bgColor rgb="FF8FD7DC"/>
      </patternFill>
    </fill>
    <fill>
      <patternFill patternType="solid">
        <fgColor rgb="FFFFA766"/>
        <bgColor rgb="FFF28E85"/>
      </patternFill>
    </fill>
    <fill>
      <patternFill patternType="solid">
        <fgColor rgb="FFFAD9D6"/>
        <bgColor rgb="FFFEF1CC"/>
      </patternFill>
    </fill>
    <fill>
      <patternFill patternType="solid">
        <fgColor rgb="FFBC8D03"/>
        <bgColor rgb="FFFF9900"/>
      </patternFill>
    </fill>
    <fill>
      <patternFill patternType="solid">
        <fgColor rgb="FFFEF1CC"/>
        <bgColor rgb="FFFAD9D6"/>
      </patternFill>
    </fill>
    <fill>
      <patternFill patternType="solid">
        <fgColor rgb="FFD9E6FC"/>
        <bgColor rgb="FFCCFFFF"/>
      </patternFill>
    </fill>
    <fill>
      <patternFill patternType="solid">
        <fgColor rgb="FF7AD592"/>
        <bgColor rgb="FF8FD7DC"/>
      </patternFill>
    </fill>
    <fill>
      <patternFill patternType="solid">
        <fgColor rgb="FF46BDC6"/>
        <bgColor rgb="FF6FA8D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>
      <alignment vertical="center"/>
    </xf>
  </cellStyleXfs>
  <cellXfs count="56">
    <xf numFmtId="0" fontId="0" fillId="0" borderId="0" xfId="0"/>
    <xf numFmtId="164" fontId="0" fillId="0" borderId="0" xfId="0" applyNumberFormat="1"/>
    <xf numFmtId="0" fontId="0" fillId="0" borderId="1" xfId="0" applyBorder="1"/>
    <xf numFmtId="0" fontId="1" fillId="0" borderId="0" xfId="0" applyFont="1"/>
    <xf numFmtId="0" fontId="0" fillId="0" borderId="2" xfId="0" applyBorder="1"/>
    <xf numFmtId="0" fontId="2" fillId="0" borderId="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3" borderId="0" xfId="0" applyFill="1"/>
    <xf numFmtId="0" fontId="3" fillId="0" borderId="1" xfId="0" applyFont="1" applyBorder="1"/>
    <xf numFmtId="0" fontId="4" fillId="0" borderId="3" xfId="0" applyFont="1" applyBorder="1" applyAlignment="1">
      <alignment horizontal="right"/>
    </xf>
    <xf numFmtId="0" fontId="4" fillId="0" borderId="5" xfId="0" applyFont="1" applyBorder="1"/>
    <xf numFmtId="165" fontId="4" fillId="0" borderId="5" xfId="1" applyNumberFormat="1" applyFont="1" applyFill="1" applyBorder="1" applyAlignment="1" applyProtection="1">
      <alignment horizontal="right"/>
    </xf>
    <xf numFmtId="0" fontId="4" fillId="0" borderId="5" xfId="0" applyFont="1" applyBorder="1" applyAlignment="1">
      <alignment horizontal="right"/>
    </xf>
    <xf numFmtId="165" fontId="4" fillId="0" borderId="5" xfId="1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10" fontId="2" fillId="0" borderId="0" xfId="0" applyNumberFormat="1" applyFont="1"/>
    <xf numFmtId="0" fontId="0" fillId="5" borderId="0" xfId="0" applyFill="1" applyAlignment="1">
      <alignment vertical="center"/>
    </xf>
    <xf numFmtId="10" fontId="0" fillId="0" borderId="1" xfId="0" applyNumberFormat="1" applyBorder="1"/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0" fillId="6" borderId="4" xfId="0" applyFill="1" applyBorder="1" applyAlignment="1">
      <alignment horizontal="left" vertical="top"/>
    </xf>
    <xf numFmtId="9" fontId="0" fillId="6" borderId="0" xfId="0" applyNumberFormat="1" applyFill="1" applyAlignment="1">
      <alignment horizontal="left" vertical="top"/>
    </xf>
    <xf numFmtId="0" fontId="3" fillId="7" borderId="0" xfId="0" applyFont="1" applyFill="1"/>
    <xf numFmtId="166" fontId="3" fillId="0" borderId="1" xfId="0" applyNumberFormat="1" applyFont="1" applyBorder="1"/>
    <xf numFmtId="167" fontId="3" fillId="0" borderId="1" xfId="0" applyNumberFormat="1" applyFont="1" applyBorder="1" applyAlignment="1">
      <alignment horizontal="right"/>
    </xf>
    <xf numFmtId="0" fontId="0" fillId="8" borderId="0" xfId="0" applyFill="1" applyAlignment="1">
      <alignment horizontal="left"/>
    </xf>
    <xf numFmtId="0" fontId="0" fillId="10" borderId="0" xfId="0" applyFill="1"/>
    <xf numFmtId="0" fontId="0" fillId="10" borderId="4" xfId="0" applyFill="1" applyBorder="1" applyAlignment="1">
      <alignment vertical="center"/>
    </xf>
    <xf numFmtId="0" fontId="1" fillId="0" borderId="1" xfId="0" applyFont="1" applyBorder="1"/>
    <xf numFmtId="0" fontId="0" fillId="12" borderId="0" xfId="0" applyFill="1"/>
    <xf numFmtId="0" fontId="0" fillId="14" borderId="0" xfId="0" applyFill="1"/>
    <xf numFmtId="0" fontId="5" fillId="0" borderId="1" xfId="0" applyFont="1" applyBorder="1"/>
    <xf numFmtId="0" fontId="0" fillId="5" borderId="0" xfId="0" applyFill="1"/>
    <xf numFmtId="0" fontId="3" fillId="0" borderId="0" xfId="0" applyFont="1" applyAlignment="1">
      <alignment vertical="center"/>
    </xf>
    <xf numFmtId="0" fontId="3" fillId="0" borderId="6" xfId="0" applyFont="1" applyBorder="1"/>
    <xf numFmtId="0" fontId="3" fillId="0" borderId="0" xfId="0" applyFont="1"/>
    <xf numFmtId="0" fontId="3" fillId="0" borderId="6" xfId="0" applyFont="1" applyBorder="1" applyAlignment="1">
      <alignment horizontal="right"/>
    </xf>
    <xf numFmtId="0" fontId="0" fillId="15" borderId="0" xfId="0" applyFill="1"/>
    <xf numFmtId="0" fontId="6" fillId="15" borderId="0" xfId="0" applyFont="1" applyFill="1"/>
    <xf numFmtId="0" fontId="1" fillId="0" borderId="4" xfId="0" applyFont="1" applyBorder="1"/>
    <xf numFmtId="0" fontId="0" fillId="0" borderId="6" xfId="0" applyBorder="1" applyAlignment="1">
      <alignment horizontal="right"/>
    </xf>
    <xf numFmtId="0" fontId="0" fillId="2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/>
    </xf>
    <xf numFmtId="0" fontId="3" fillId="11" borderId="0" xfId="0" applyFont="1" applyFill="1" applyAlignment="1">
      <alignment horizontal="left" vertical="center"/>
    </xf>
    <xf numFmtId="0" fontId="3" fillId="12" borderId="4" xfId="0" applyFont="1" applyFill="1" applyBorder="1" applyAlignment="1">
      <alignment horizontal="left" vertical="center"/>
    </xf>
    <xf numFmtId="0" fontId="0" fillId="12" borderId="4" xfId="0" applyFill="1" applyBorder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3" fillId="0" borderId="1" xfId="0" applyNumberFormat="1" applyFont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BC8D03"/>
      <rgbColor rgb="00800080"/>
      <rgbColor rgb="00008080"/>
      <rgbColor rgb="007AD592"/>
      <rgbColor rgb="00808080"/>
      <rgbColor rgb="006FA8DC"/>
      <rgbColor rgb="00993366"/>
      <rgbColor rgb="00FEF1CC"/>
      <rgbColor rgb="00D9E6FC"/>
      <rgbColor rgb="00660066"/>
      <rgbColor rgb="00F28E85"/>
      <rgbColor rgb="000066CC"/>
      <rgbColor rgb="00B3CEFA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DE49A"/>
      <rgbColor rgb="008FD7DC"/>
      <rgbColor rgb="00FFA766"/>
      <rgbColor rgb="00CC99FF"/>
      <rgbColor rgb="00FFC499"/>
      <rgbColor rgb="003366FF"/>
      <rgbColor rgb="0046BDC6"/>
      <rgbColor rgb="0099CC00"/>
      <rgbColor rgb="00F1C232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8"/>
  <sheetViews>
    <sheetView tabSelected="1" topLeftCell="A68" workbookViewId="0">
      <selection activeCell="F60" sqref="F60"/>
    </sheetView>
  </sheetViews>
  <sheetFormatPr defaultColWidth="14.42578125" defaultRowHeight="12.75"/>
  <cols>
    <col min="1" max="1" width="12.7109375" customWidth="1"/>
    <col min="2" max="2" width="18.85546875" customWidth="1"/>
    <col min="3" max="3" width="15.85546875"/>
    <col min="4" max="4" width="18.85546875" customWidth="1"/>
    <col min="5" max="5" width="9.7109375" customWidth="1"/>
    <col min="7" max="7" width="15.42578125" customWidth="1"/>
    <col min="8" max="8" width="15.85546875"/>
    <col min="9" max="9" width="19.42578125" customWidth="1"/>
    <col min="10" max="10" width="9.140625" customWidth="1"/>
  </cols>
  <sheetData>
    <row r="1" spans="1:14" ht="19.5" customHeight="1">
      <c r="A1" s="45" t="s">
        <v>0</v>
      </c>
      <c r="B1" s="45"/>
      <c r="C1" s="45"/>
      <c r="D1" s="45"/>
      <c r="F1" s="8"/>
      <c r="G1" s="46" t="s">
        <v>1</v>
      </c>
      <c r="H1" s="46"/>
      <c r="I1" s="8"/>
      <c r="K1" s="34"/>
      <c r="L1" s="47" t="s">
        <v>2</v>
      </c>
      <c r="M1" s="47"/>
      <c r="N1" s="34"/>
    </row>
    <row r="2" spans="1:14" ht="15.75" customHeight="1">
      <c r="A2" s="9" t="s">
        <v>3</v>
      </c>
      <c r="B2" s="9" t="s">
        <v>4</v>
      </c>
      <c r="C2" s="9" t="s">
        <v>5</v>
      </c>
      <c r="D2" s="9" t="s">
        <v>6</v>
      </c>
      <c r="F2" s="9" t="s">
        <v>3</v>
      </c>
      <c r="G2" s="9" t="s">
        <v>7</v>
      </c>
      <c r="H2" s="9" t="s">
        <v>5</v>
      </c>
      <c r="I2" s="9" t="s">
        <v>6</v>
      </c>
      <c r="J2" s="23"/>
      <c r="K2" s="9" t="s">
        <v>3</v>
      </c>
      <c r="L2" s="9" t="s">
        <v>8</v>
      </c>
      <c r="M2" s="9" t="s">
        <v>9</v>
      </c>
      <c r="N2" s="35"/>
    </row>
    <row r="3" spans="1:14" ht="15.75" customHeight="1">
      <c r="A3" s="10">
        <v>2018</v>
      </c>
      <c r="B3" s="11">
        <v>1204</v>
      </c>
      <c r="C3" s="12">
        <v>26</v>
      </c>
      <c r="D3" s="13">
        <v>253</v>
      </c>
      <c r="F3" s="10">
        <v>2018</v>
      </c>
      <c r="G3" s="13">
        <v>229</v>
      </c>
      <c r="H3" s="13">
        <v>6.5</v>
      </c>
      <c r="I3" s="13">
        <v>14</v>
      </c>
      <c r="J3" s="23"/>
      <c r="K3" s="10">
        <v>2018</v>
      </c>
      <c r="L3" s="13">
        <f t="shared" ref="L3:L9" si="0">B3-G3</f>
        <v>975</v>
      </c>
      <c r="M3" s="13">
        <v>239</v>
      </c>
      <c r="N3" s="35"/>
    </row>
    <row r="4" spans="1:14" ht="15.75" customHeight="1">
      <c r="A4" s="10">
        <v>2019</v>
      </c>
      <c r="B4" s="11">
        <v>1110</v>
      </c>
      <c r="C4" s="14">
        <v>-8</v>
      </c>
      <c r="D4" s="13">
        <f t="shared" ref="D4:D9" si="1">B4-B3</f>
        <v>-94</v>
      </c>
      <c r="F4" s="10">
        <v>2019</v>
      </c>
      <c r="G4" s="13">
        <v>175</v>
      </c>
      <c r="H4" s="13">
        <v>-23</v>
      </c>
      <c r="I4" s="13">
        <f t="shared" ref="I4:I9" si="2">G4-G3</f>
        <v>-54</v>
      </c>
      <c r="J4" s="23"/>
      <c r="K4" s="10">
        <v>2019</v>
      </c>
      <c r="L4" s="13">
        <f t="shared" si="0"/>
        <v>935</v>
      </c>
      <c r="M4" s="13">
        <f t="shared" ref="M4:M9" si="3">L4-L3</f>
        <v>-40</v>
      </c>
      <c r="N4" s="35"/>
    </row>
    <row r="5" spans="1:14" ht="15.75" customHeight="1">
      <c r="A5" s="15">
        <v>2020</v>
      </c>
      <c r="B5" s="11">
        <v>1368</v>
      </c>
      <c r="C5" s="14">
        <v>23</v>
      </c>
      <c r="D5" s="13">
        <f t="shared" si="1"/>
        <v>258</v>
      </c>
      <c r="F5" s="15">
        <v>2020</v>
      </c>
      <c r="G5" s="13">
        <v>253</v>
      </c>
      <c r="H5" s="13">
        <v>44</v>
      </c>
      <c r="I5" s="13">
        <f t="shared" si="2"/>
        <v>78</v>
      </c>
      <c r="J5" s="23"/>
      <c r="K5" s="15">
        <v>2020</v>
      </c>
      <c r="L5" s="13">
        <f t="shared" si="0"/>
        <v>1115</v>
      </c>
      <c r="M5" s="13">
        <f t="shared" si="3"/>
        <v>180</v>
      </c>
      <c r="N5" s="35"/>
    </row>
    <row r="6" spans="1:14" ht="15.75" customHeight="1">
      <c r="A6" s="15">
        <v>2021</v>
      </c>
      <c r="B6" s="11">
        <v>1845</v>
      </c>
      <c r="C6" s="14">
        <v>35</v>
      </c>
      <c r="D6" s="13">
        <f t="shared" si="1"/>
        <v>477</v>
      </c>
      <c r="F6" s="15">
        <v>2021</v>
      </c>
      <c r="G6" s="13">
        <v>614</v>
      </c>
      <c r="H6" s="13">
        <v>142</v>
      </c>
      <c r="I6" s="13">
        <f t="shared" si="2"/>
        <v>361</v>
      </c>
      <c r="J6" s="23"/>
      <c r="K6" s="15">
        <v>2021</v>
      </c>
      <c r="L6" s="13">
        <f t="shared" si="0"/>
        <v>1231</v>
      </c>
      <c r="M6" s="13">
        <f t="shared" si="3"/>
        <v>116</v>
      </c>
      <c r="N6" s="35"/>
    </row>
    <row r="7" spans="1:14" ht="15.75" customHeight="1">
      <c r="A7" s="15">
        <v>2022</v>
      </c>
      <c r="B7" s="11">
        <v>3087</v>
      </c>
      <c r="C7" s="14">
        <v>68</v>
      </c>
      <c r="D7" s="13">
        <f t="shared" si="1"/>
        <v>1242</v>
      </c>
      <c r="F7" s="10">
        <v>2022</v>
      </c>
      <c r="G7" s="13">
        <v>881</v>
      </c>
      <c r="H7" s="13">
        <v>43</v>
      </c>
      <c r="I7" s="13">
        <f t="shared" si="2"/>
        <v>267</v>
      </c>
      <c r="J7" s="23"/>
      <c r="K7" s="10">
        <v>2022</v>
      </c>
      <c r="L7" s="13">
        <f t="shared" si="0"/>
        <v>2206</v>
      </c>
      <c r="M7" s="13">
        <f t="shared" si="3"/>
        <v>975</v>
      </c>
      <c r="N7" s="35"/>
    </row>
    <row r="8" spans="1:14" ht="15.75" customHeight="1">
      <c r="A8" s="15">
        <v>2023</v>
      </c>
      <c r="B8" s="11">
        <v>3014</v>
      </c>
      <c r="C8" s="14">
        <v>-3</v>
      </c>
      <c r="D8" s="13">
        <f t="shared" si="1"/>
        <v>-73</v>
      </c>
      <c r="F8" s="10">
        <v>2023</v>
      </c>
      <c r="G8" s="10">
        <v>271</v>
      </c>
      <c r="H8" s="13">
        <v>-69</v>
      </c>
      <c r="I8" s="13">
        <f t="shared" si="2"/>
        <v>-610</v>
      </c>
      <c r="K8" s="10">
        <v>2023</v>
      </c>
      <c r="L8" s="13">
        <f t="shared" si="0"/>
        <v>2743</v>
      </c>
      <c r="M8" s="13">
        <f t="shared" si="3"/>
        <v>537</v>
      </c>
      <c r="N8" s="10"/>
    </row>
    <row r="9" spans="1:14" ht="15.75" customHeight="1">
      <c r="A9" s="15">
        <v>2024</v>
      </c>
      <c r="B9" s="11">
        <v>2504</v>
      </c>
      <c r="C9" s="14">
        <v>-17</v>
      </c>
      <c r="D9" s="13">
        <f t="shared" si="1"/>
        <v>-510</v>
      </c>
      <c r="F9" s="10">
        <v>2024</v>
      </c>
      <c r="G9" s="10">
        <v>125</v>
      </c>
      <c r="H9" s="13">
        <v>-53</v>
      </c>
      <c r="I9" s="13">
        <f t="shared" si="2"/>
        <v>-146</v>
      </c>
      <c r="K9" s="10">
        <v>2024</v>
      </c>
      <c r="L9" s="13">
        <f t="shared" si="0"/>
        <v>2379</v>
      </c>
      <c r="M9" s="13">
        <f t="shared" si="3"/>
        <v>-364</v>
      </c>
      <c r="N9" s="10"/>
    </row>
    <row r="10" spans="1:14" ht="15.75" customHeight="1"/>
    <row r="11" spans="1:14" ht="15.75" customHeight="1"/>
    <row r="12" spans="1:14" ht="15.75" customHeight="1"/>
    <row r="13" spans="1:14" ht="15.75" customHeight="1">
      <c r="C13" s="16"/>
    </row>
    <row r="14" spans="1:14" ht="21" customHeight="1">
      <c r="A14" s="48" t="s">
        <v>10</v>
      </c>
      <c r="B14" s="48"/>
      <c r="C14" s="48"/>
      <c r="D14" s="48"/>
      <c r="F14" s="17" t="s">
        <v>11</v>
      </c>
      <c r="G14" s="17"/>
      <c r="H14" s="17"/>
      <c r="I14" s="36"/>
    </row>
    <row r="15" spans="1:14" ht="15.75" customHeight="1">
      <c r="A15" s="2" t="s">
        <v>12</v>
      </c>
      <c r="B15" s="18">
        <v>0.64900000000000002</v>
      </c>
      <c r="C15" s="2"/>
      <c r="D15" s="2"/>
      <c r="F15" s="9">
        <v>14.8</v>
      </c>
      <c r="G15" s="9"/>
      <c r="H15" s="9"/>
      <c r="I15" s="9"/>
      <c r="J15" s="23"/>
    </row>
    <row r="16" spans="1:14" ht="15.75" customHeight="1">
      <c r="A16" s="2" t="s">
        <v>13</v>
      </c>
      <c r="B16" s="2" t="s">
        <v>8</v>
      </c>
      <c r="C16" s="2" t="s">
        <v>5</v>
      </c>
      <c r="D16" s="2" t="s">
        <v>14</v>
      </c>
      <c r="F16" s="9" t="s">
        <v>13</v>
      </c>
      <c r="G16" s="9" t="s">
        <v>15</v>
      </c>
      <c r="H16" s="9" t="s">
        <v>5</v>
      </c>
      <c r="I16" s="9" t="s">
        <v>6</v>
      </c>
      <c r="J16" s="23"/>
    </row>
    <row r="17" spans="1:10" ht="15.75" customHeight="1">
      <c r="A17" s="10">
        <v>2018</v>
      </c>
      <c r="B17" s="19">
        <v>995.4</v>
      </c>
      <c r="C17" s="19"/>
      <c r="D17" s="19"/>
      <c r="F17" s="10">
        <v>2018</v>
      </c>
      <c r="G17" s="20">
        <v>73.3</v>
      </c>
      <c r="H17" s="21"/>
      <c r="I17" s="21"/>
      <c r="J17" s="23"/>
    </row>
    <row r="18" spans="1:10" ht="15.75" customHeight="1">
      <c r="A18" s="10">
        <v>2019</v>
      </c>
      <c r="B18" s="19">
        <v>772.6</v>
      </c>
      <c r="C18" s="19">
        <v>-22.3</v>
      </c>
      <c r="D18" s="19">
        <f t="shared" ref="D18:D23" si="4">B18-B17</f>
        <v>-222.8</v>
      </c>
      <c r="F18" s="10">
        <v>2019</v>
      </c>
      <c r="G18" s="20">
        <v>87.9</v>
      </c>
      <c r="H18" s="20">
        <v>19.899999999999999</v>
      </c>
      <c r="I18" s="20">
        <f t="shared" ref="I18:I23" si="5">G18-G17</f>
        <v>14.6</v>
      </c>
      <c r="J18" s="23"/>
    </row>
    <row r="19" spans="1:10" ht="15.75" customHeight="1">
      <c r="A19" s="10">
        <v>2020</v>
      </c>
      <c r="B19" s="19">
        <v>871.9</v>
      </c>
      <c r="C19" s="19">
        <v>12.8</v>
      </c>
      <c r="D19" s="19">
        <f t="shared" si="4"/>
        <v>99.3</v>
      </c>
      <c r="F19" s="10">
        <v>2020</v>
      </c>
      <c r="G19" s="20">
        <v>53.3</v>
      </c>
      <c r="H19" s="20">
        <v>-39.299999999999997</v>
      </c>
      <c r="I19" s="20">
        <f t="shared" si="5"/>
        <v>-34.6</v>
      </c>
      <c r="J19" s="23"/>
    </row>
    <row r="20" spans="1:10" ht="15.75" customHeight="1">
      <c r="A20" s="15">
        <v>2021</v>
      </c>
      <c r="B20" s="19">
        <v>1281</v>
      </c>
      <c r="C20" s="19">
        <v>46.9</v>
      </c>
      <c r="D20" s="19">
        <f t="shared" si="4"/>
        <v>409.1</v>
      </c>
      <c r="F20" s="15">
        <v>2021</v>
      </c>
      <c r="G20" s="20">
        <v>112.4</v>
      </c>
      <c r="H20" s="20">
        <v>110.8</v>
      </c>
      <c r="I20" s="20">
        <f t="shared" si="5"/>
        <v>59.1</v>
      </c>
      <c r="J20" s="23"/>
    </row>
    <row r="21" spans="1:10" ht="15.75" customHeight="1">
      <c r="A21" s="15">
        <v>2022</v>
      </c>
      <c r="B21" s="22">
        <v>1803</v>
      </c>
      <c r="C21" s="19">
        <v>40.700000000000003</v>
      </c>
      <c r="D21" s="19">
        <f t="shared" si="4"/>
        <v>522</v>
      </c>
      <c r="F21" s="15">
        <v>2022</v>
      </c>
      <c r="G21" s="20">
        <v>247.1</v>
      </c>
      <c r="H21" s="20">
        <v>119.8</v>
      </c>
      <c r="I21" s="20">
        <f t="shared" si="5"/>
        <v>134.69999999999999</v>
      </c>
      <c r="J21" s="23"/>
    </row>
    <row r="22" spans="1:10" ht="15.75" customHeight="1">
      <c r="A22" s="15">
        <v>2023</v>
      </c>
      <c r="B22" s="19">
        <v>1908</v>
      </c>
      <c r="C22" s="19">
        <v>5.8</v>
      </c>
      <c r="D22" s="19">
        <f t="shared" si="4"/>
        <v>105</v>
      </c>
      <c r="F22" s="15">
        <v>2023</v>
      </c>
      <c r="G22" s="20">
        <v>73.459999999999994</v>
      </c>
      <c r="H22" s="20">
        <v>-70.2</v>
      </c>
      <c r="I22" s="20">
        <f t="shared" si="5"/>
        <v>-173.64</v>
      </c>
      <c r="J22" s="23"/>
    </row>
    <row r="23" spans="1:10" ht="15.75" customHeight="1">
      <c r="A23" s="15">
        <v>2024</v>
      </c>
      <c r="B23" s="19">
        <v>1350</v>
      </c>
      <c r="C23" s="19">
        <v>-29.2</v>
      </c>
      <c r="D23" s="19">
        <f t="shared" si="4"/>
        <v>-558</v>
      </c>
      <c r="F23" s="15">
        <v>2024</v>
      </c>
      <c r="G23" s="20">
        <v>18.7</v>
      </c>
      <c r="H23" s="20">
        <v>-74.5</v>
      </c>
      <c r="I23" s="20">
        <f t="shared" si="5"/>
        <v>-54.76</v>
      </c>
      <c r="J23" s="23"/>
    </row>
    <row r="24" spans="1:10" ht="15.75" customHeight="1">
      <c r="F24" s="23"/>
      <c r="G24" s="23"/>
      <c r="H24" s="23"/>
      <c r="I24" s="23"/>
      <c r="J24" s="23"/>
    </row>
    <row r="25" spans="1:10" ht="18.75" customHeight="1">
      <c r="A25" s="24" t="s">
        <v>16</v>
      </c>
      <c r="B25" s="24"/>
      <c r="C25" s="24"/>
      <c r="D25" s="25"/>
      <c r="F25" s="26"/>
      <c r="G25" s="49" t="s">
        <v>17</v>
      </c>
      <c r="H25" s="49"/>
      <c r="I25" s="26"/>
      <c r="J25" s="23"/>
    </row>
    <row r="26" spans="1:10" ht="15.75" customHeight="1">
      <c r="A26" s="2">
        <v>17.7</v>
      </c>
      <c r="B26" s="2"/>
      <c r="C26" s="2"/>
      <c r="D26" s="2"/>
      <c r="F26" s="9">
        <v>11.4</v>
      </c>
      <c r="G26" s="9"/>
      <c r="H26" s="9"/>
      <c r="I26" s="9"/>
      <c r="J26" s="23"/>
    </row>
    <row r="27" spans="1:10" ht="15.75" customHeight="1">
      <c r="A27" s="2" t="s">
        <v>13</v>
      </c>
      <c r="B27" s="2" t="s">
        <v>8</v>
      </c>
      <c r="C27" s="2" t="s">
        <v>5</v>
      </c>
      <c r="D27" s="2" t="s">
        <v>18</v>
      </c>
      <c r="F27" s="9" t="s">
        <v>13</v>
      </c>
      <c r="G27" s="9" t="s">
        <v>15</v>
      </c>
      <c r="H27" s="9" t="s">
        <v>5</v>
      </c>
      <c r="I27" s="9" t="s">
        <v>6</v>
      </c>
      <c r="J27" s="23"/>
    </row>
    <row r="28" spans="1:10" ht="15.75" customHeight="1">
      <c r="A28" s="10">
        <v>2018</v>
      </c>
      <c r="B28" s="19">
        <v>117</v>
      </c>
      <c r="C28" s="19"/>
      <c r="D28" s="19"/>
      <c r="F28" s="10">
        <v>2018</v>
      </c>
      <c r="G28" s="20">
        <v>16.399999999999999</v>
      </c>
      <c r="H28" s="20"/>
      <c r="I28" s="20"/>
      <c r="J28" s="23"/>
    </row>
    <row r="29" spans="1:10" ht="15.75" customHeight="1">
      <c r="A29" s="10">
        <v>2019</v>
      </c>
      <c r="B29" s="19">
        <v>117</v>
      </c>
      <c r="C29" s="19" t="s">
        <v>19</v>
      </c>
      <c r="D29" s="19" t="s">
        <v>20</v>
      </c>
      <c r="F29" s="10">
        <v>2019</v>
      </c>
      <c r="G29" s="20">
        <v>19.2</v>
      </c>
      <c r="H29" s="20">
        <v>17</v>
      </c>
      <c r="I29" s="20" t="s">
        <v>21</v>
      </c>
      <c r="J29" s="23"/>
    </row>
    <row r="30" spans="1:10" ht="15.75" customHeight="1">
      <c r="A30" s="10">
        <v>2020</v>
      </c>
      <c r="B30" s="19">
        <v>325</v>
      </c>
      <c r="C30" s="19" t="s">
        <v>22</v>
      </c>
      <c r="D30" s="19">
        <v>148</v>
      </c>
      <c r="F30" s="10">
        <v>2020</v>
      </c>
      <c r="G30" s="20">
        <v>10.3</v>
      </c>
      <c r="H30" s="20">
        <v>-46</v>
      </c>
      <c r="I30" s="20" t="s">
        <v>23</v>
      </c>
      <c r="J30" s="23"/>
    </row>
    <row r="31" spans="1:10" ht="15.75" customHeight="1">
      <c r="A31" s="15">
        <v>2021</v>
      </c>
      <c r="B31" s="19">
        <v>362</v>
      </c>
      <c r="C31" s="19" t="s">
        <v>24</v>
      </c>
      <c r="D31" s="19" t="s">
        <v>25</v>
      </c>
      <c r="F31" s="15">
        <v>2021</v>
      </c>
      <c r="G31" s="20">
        <v>19.7</v>
      </c>
      <c r="H31" s="20">
        <v>91</v>
      </c>
      <c r="I31" s="20" t="s">
        <v>26</v>
      </c>
      <c r="J31" s="23"/>
    </row>
    <row r="32" spans="1:10" ht="15.75" customHeight="1">
      <c r="A32" s="15">
        <v>2022</v>
      </c>
      <c r="B32" s="19">
        <v>573</v>
      </c>
      <c r="C32" s="19">
        <v>58.3</v>
      </c>
      <c r="D32" s="19">
        <v>211</v>
      </c>
      <c r="F32" s="15">
        <v>2022</v>
      </c>
      <c r="G32" s="28">
        <v>17.100000000000001</v>
      </c>
      <c r="H32" s="20">
        <v>-13.1</v>
      </c>
      <c r="I32" s="22">
        <v>-26.3</v>
      </c>
      <c r="J32" s="23"/>
    </row>
    <row r="33" spans="1:10" ht="16.5" customHeight="1">
      <c r="A33" s="15">
        <v>2023</v>
      </c>
      <c r="B33" s="19">
        <v>403</v>
      </c>
      <c r="C33" s="19">
        <v>-29</v>
      </c>
      <c r="D33" s="19">
        <v>-70</v>
      </c>
      <c r="F33" s="15">
        <v>2023</v>
      </c>
      <c r="G33" s="19">
        <v>15</v>
      </c>
      <c r="H33" s="20">
        <v>-12.2</v>
      </c>
      <c r="I33" s="19">
        <f>G33-G32</f>
        <v>-2.1</v>
      </c>
      <c r="J33" s="23"/>
    </row>
    <row r="34" spans="1:10" ht="16.5" customHeight="1">
      <c r="A34" s="15">
        <v>2024</v>
      </c>
      <c r="B34" s="19">
        <v>443</v>
      </c>
      <c r="C34" s="19">
        <v>10.1</v>
      </c>
      <c r="D34" s="19">
        <v>40.6</v>
      </c>
      <c r="F34" s="15">
        <v>2024</v>
      </c>
      <c r="G34" s="19">
        <v>14.4</v>
      </c>
      <c r="H34" s="20">
        <v>-4</v>
      </c>
      <c r="I34" s="19">
        <v>0.58379999999999999</v>
      </c>
      <c r="J34" s="23"/>
    </row>
    <row r="35" spans="1:10" ht="16.5" customHeight="1">
      <c r="F35" s="23"/>
      <c r="G35" s="23"/>
      <c r="H35" s="23"/>
      <c r="I35" s="23"/>
      <c r="J35" s="23"/>
    </row>
    <row r="36" spans="1:10" ht="19.5" customHeight="1">
      <c r="A36" s="29" t="s">
        <v>27</v>
      </c>
      <c r="B36" s="29"/>
      <c r="C36" s="29"/>
      <c r="D36" s="29"/>
      <c r="F36" s="50" t="s">
        <v>28</v>
      </c>
      <c r="G36" s="50"/>
      <c r="H36" s="50"/>
      <c r="I36" s="50"/>
      <c r="J36" s="23"/>
    </row>
    <row r="37" spans="1:10" ht="15.75" customHeight="1">
      <c r="A37" s="29"/>
      <c r="B37" s="29"/>
      <c r="C37" s="29"/>
      <c r="D37" s="29"/>
      <c r="F37" s="50"/>
      <c r="G37" s="50"/>
      <c r="H37" s="50"/>
      <c r="I37" s="50"/>
      <c r="J37" s="23"/>
    </row>
    <row r="38" spans="1:10" ht="15.75" customHeight="1">
      <c r="A38" s="27">
        <v>7.3999999999999996E-2</v>
      </c>
      <c r="B38" s="9"/>
      <c r="C38" s="9"/>
      <c r="D38" s="9"/>
      <c r="F38" s="9">
        <v>11.3</v>
      </c>
      <c r="G38" s="9"/>
      <c r="H38" s="9"/>
      <c r="I38" s="9"/>
      <c r="J38" s="23"/>
    </row>
    <row r="39" spans="1:10" ht="15.75" customHeight="1">
      <c r="A39" s="9" t="s">
        <v>13</v>
      </c>
      <c r="B39" s="9" t="s">
        <v>15</v>
      </c>
      <c r="C39" s="9" t="s">
        <v>5</v>
      </c>
      <c r="D39" s="9" t="s">
        <v>6</v>
      </c>
      <c r="F39" s="9" t="s">
        <v>13</v>
      </c>
      <c r="G39" s="9" t="s">
        <v>15</v>
      </c>
      <c r="H39" s="9" t="s">
        <v>5</v>
      </c>
      <c r="I39" s="9" t="s">
        <v>6</v>
      </c>
      <c r="J39" s="23"/>
    </row>
    <row r="40" spans="1:10" ht="15.75" customHeight="1">
      <c r="A40" s="10">
        <v>2018</v>
      </c>
      <c r="B40" s="28">
        <v>15.3</v>
      </c>
      <c r="C40" s="20"/>
      <c r="D40" s="20"/>
      <c r="F40" s="10">
        <v>2018</v>
      </c>
      <c r="G40" s="20">
        <v>4.7300000000000004</v>
      </c>
      <c r="H40" s="21"/>
      <c r="I40" s="21"/>
      <c r="J40" s="23"/>
    </row>
    <row r="41" spans="1:10" ht="15.75" customHeight="1">
      <c r="A41" s="10">
        <v>2019</v>
      </c>
      <c r="B41" s="20">
        <v>78.5</v>
      </c>
      <c r="C41" s="20">
        <v>413</v>
      </c>
      <c r="D41" s="20" t="s">
        <v>29</v>
      </c>
      <c r="F41" s="10">
        <v>2019</v>
      </c>
      <c r="G41" s="20">
        <v>1.52</v>
      </c>
      <c r="H41" s="20">
        <v>-67.900000000000006</v>
      </c>
      <c r="I41" s="20">
        <v>-3.21</v>
      </c>
      <c r="J41" s="23"/>
    </row>
    <row r="42" spans="1:10" ht="15.75" customHeight="1">
      <c r="A42" s="10">
        <v>2020</v>
      </c>
      <c r="B42" s="20">
        <v>121</v>
      </c>
      <c r="C42" s="20">
        <v>54</v>
      </c>
      <c r="D42" s="20" t="s">
        <v>30</v>
      </c>
      <c r="F42" s="10">
        <v>2020</v>
      </c>
      <c r="G42" s="20">
        <v>25</v>
      </c>
      <c r="H42" s="20">
        <v>1551.3</v>
      </c>
      <c r="I42" s="20">
        <v>23.5</v>
      </c>
      <c r="J42" s="23"/>
    </row>
    <row r="43" spans="1:10" ht="15.75" customHeight="1">
      <c r="A43" s="15">
        <v>2021</v>
      </c>
      <c r="B43" s="20">
        <v>108</v>
      </c>
      <c r="C43" s="20" t="s">
        <v>31</v>
      </c>
      <c r="D43" s="20">
        <v>-13</v>
      </c>
      <c r="F43" s="15">
        <v>2021</v>
      </c>
      <c r="G43" s="20">
        <v>86</v>
      </c>
      <c r="H43" s="20">
        <v>243.6</v>
      </c>
      <c r="I43" s="28">
        <v>61</v>
      </c>
      <c r="J43" s="23"/>
    </row>
    <row r="44" spans="1:10" ht="15.75" customHeight="1">
      <c r="A44" s="15">
        <v>2022</v>
      </c>
      <c r="B44" s="20">
        <v>422</v>
      </c>
      <c r="C44" s="20" t="s">
        <v>32</v>
      </c>
      <c r="D44" s="20">
        <v>314</v>
      </c>
      <c r="F44" s="15">
        <v>2022</v>
      </c>
      <c r="G44" s="20">
        <v>90.3</v>
      </c>
      <c r="H44" s="20">
        <v>5</v>
      </c>
      <c r="I44" s="20">
        <v>4.2699999999999996</v>
      </c>
      <c r="J44" s="23"/>
    </row>
    <row r="45" spans="1:10" ht="15.75" customHeight="1">
      <c r="A45" s="15">
        <v>2023</v>
      </c>
      <c r="B45" s="20">
        <v>448.2</v>
      </c>
      <c r="C45" s="20">
        <v>6.2</v>
      </c>
      <c r="D45" s="20">
        <f>B45-B44</f>
        <v>26.2</v>
      </c>
      <c r="F45" s="15">
        <v>2023</v>
      </c>
      <c r="G45" s="20">
        <v>46.5</v>
      </c>
      <c r="H45" s="20">
        <v>-48.5</v>
      </c>
      <c r="I45" s="20">
        <f>G45-G44</f>
        <v>-43.8</v>
      </c>
      <c r="J45" s="23"/>
    </row>
    <row r="46" spans="1:10" ht="15.75" customHeight="1">
      <c r="A46" s="15">
        <v>2024</v>
      </c>
      <c r="B46" s="20">
        <v>185.2</v>
      </c>
      <c r="C46" s="20">
        <v>-58</v>
      </c>
      <c r="D46" s="20">
        <v>-263</v>
      </c>
      <c r="F46" s="15">
        <v>2024</v>
      </c>
      <c r="G46" s="20">
        <v>14.3</v>
      </c>
      <c r="H46" s="20">
        <v>-69.3</v>
      </c>
      <c r="I46" s="20">
        <v>-32.200000000000003</v>
      </c>
      <c r="J46" s="23"/>
    </row>
    <row r="47" spans="1:10" ht="15.75" customHeight="1">
      <c r="F47" s="23"/>
      <c r="G47" s="23"/>
      <c r="H47" s="23"/>
      <c r="I47" s="23"/>
      <c r="J47" s="23"/>
    </row>
    <row r="48" spans="1:10" ht="30.75" customHeight="1">
      <c r="A48" s="30"/>
      <c r="B48" s="31" t="s">
        <v>33</v>
      </c>
      <c r="C48" s="31"/>
      <c r="D48" s="31"/>
      <c r="F48" s="51" t="s">
        <v>34</v>
      </c>
      <c r="G48" s="51"/>
      <c r="H48" s="51"/>
      <c r="I48" s="51"/>
      <c r="J48" s="37"/>
    </row>
    <row r="49" spans="1:10" ht="14.25" customHeight="1">
      <c r="A49" s="32" t="s">
        <v>35</v>
      </c>
      <c r="B49" s="2"/>
      <c r="C49" s="2"/>
      <c r="D49" s="2"/>
      <c r="F49" s="9">
        <v>8.8000000000000007</v>
      </c>
      <c r="G49" s="9"/>
      <c r="H49" s="9"/>
      <c r="I49" s="38"/>
      <c r="J49" s="39"/>
    </row>
    <row r="50" spans="1:10" ht="15.75" customHeight="1">
      <c r="A50" s="2" t="s">
        <v>13</v>
      </c>
      <c r="B50" s="2" t="s">
        <v>15</v>
      </c>
      <c r="C50" s="2" t="s">
        <v>5</v>
      </c>
      <c r="D50" s="2" t="s">
        <v>6</v>
      </c>
      <c r="F50" s="9" t="s">
        <v>13</v>
      </c>
      <c r="G50" s="9" t="s">
        <v>15</v>
      </c>
      <c r="H50" s="9" t="s">
        <v>36</v>
      </c>
      <c r="I50" s="38" t="s">
        <v>6</v>
      </c>
      <c r="J50" s="39"/>
    </row>
    <row r="51" spans="1:10" ht="15.75" customHeight="1">
      <c r="A51" s="10">
        <v>2018</v>
      </c>
      <c r="B51" s="22">
        <f>B3-B17-B28-B40-B62</f>
        <v>34.1</v>
      </c>
      <c r="C51" s="19"/>
      <c r="D51" s="19"/>
      <c r="F51" s="10">
        <v>2018</v>
      </c>
      <c r="G51" s="20">
        <v>0</v>
      </c>
      <c r="H51" s="20">
        <v>0</v>
      </c>
      <c r="I51" s="40">
        <v>0</v>
      </c>
      <c r="J51" s="39"/>
    </row>
    <row r="52" spans="1:10" ht="15.75" customHeight="1">
      <c r="A52" s="10">
        <v>2019</v>
      </c>
      <c r="B52" s="22">
        <f t="shared" ref="B52:B57" si="6">B4-B18-B29-B41-B63</f>
        <v>106</v>
      </c>
      <c r="C52" s="19">
        <v>-14.6</v>
      </c>
      <c r="D52" s="19">
        <f t="shared" ref="D52:D57" si="7">B52-B51</f>
        <v>71.899999999999906</v>
      </c>
      <c r="F52" s="10">
        <v>2019</v>
      </c>
      <c r="G52" s="20">
        <v>0</v>
      </c>
      <c r="H52" s="20">
        <v>0</v>
      </c>
      <c r="I52" s="40">
        <v>0</v>
      </c>
      <c r="J52" s="39"/>
    </row>
    <row r="53" spans="1:10" ht="15.75" customHeight="1">
      <c r="A53" s="10">
        <v>2020</v>
      </c>
      <c r="B53" s="22">
        <f t="shared" si="6"/>
        <v>37.200000000000003</v>
      </c>
      <c r="C53" s="19">
        <v>3.47</v>
      </c>
      <c r="D53" s="19">
        <f t="shared" si="7"/>
        <v>-68.8</v>
      </c>
      <c r="F53" s="10">
        <v>2020</v>
      </c>
      <c r="G53" s="20">
        <v>0.24079999999999999</v>
      </c>
      <c r="H53" s="20">
        <f>0</f>
        <v>0</v>
      </c>
      <c r="I53" s="40">
        <v>105</v>
      </c>
      <c r="J53" s="39"/>
    </row>
    <row r="54" spans="1:10" ht="15.75" customHeight="1">
      <c r="A54" s="15">
        <v>2021</v>
      </c>
      <c r="B54" s="22">
        <f t="shared" si="6"/>
        <v>51.8</v>
      </c>
      <c r="C54" s="19">
        <v>46.6</v>
      </c>
      <c r="D54" s="19">
        <f t="shared" si="7"/>
        <v>14.6</v>
      </c>
      <c r="F54" s="15">
        <v>2021</v>
      </c>
      <c r="G54" s="20">
        <v>2.5499999999999998</v>
      </c>
      <c r="H54" s="20">
        <v>958</v>
      </c>
      <c r="I54" s="40">
        <v>2.2999999999999998</v>
      </c>
      <c r="J54" s="39"/>
    </row>
    <row r="55" spans="1:10" ht="15.75" customHeight="1">
      <c r="A55" s="15">
        <v>2022</v>
      </c>
      <c r="B55" s="22">
        <f t="shared" si="6"/>
        <v>111</v>
      </c>
      <c r="C55" s="19">
        <v>43.6</v>
      </c>
      <c r="D55" s="19">
        <f t="shared" si="7"/>
        <v>59.2</v>
      </c>
      <c r="F55" s="15">
        <v>2022</v>
      </c>
      <c r="G55" s="20">
        <v>4.6500000000000004</v>
      </c>
      <c r="H55" s="20">
        <v>82.3</v>
      </c>
      <c r="I55" s="40">
        <v>2.1</v>
      </c>
      <c r="J55" s="39"/>
    </row>
    <row r="56" spans="1:10" ht="15.75" customHeight="1">
      <c r="A56" s="15">
        <v>2023</v>
      </c>
      <c r="B56" s="22">
        <f t="shared" si="6"/>
        <v>137.5</v>
      </c>
      <c r="C56" s="19">
        <v>6.87</v>
      </c>
      <c r="D56" s="19">
        <f t="shared" si="7"/>
        <v>26.5</v>
      </c>
      <c r="F56" s="15">
        <v>2023</v>
      </c>
      <c r="G56" s="20">
        <v>4.2240000000000002</v>
      </c>
      <c r="H56" s="20">
        <v>-9.16</v>
      </c>
      <c r="I56" s="20">
        <f>G56-G55</f>
        <v>-0.42599999999999999</v>
      </c>
      <c r="J56" s="23"/>
    </row>
    <row r="57" spans="1:10" ht="15.75" customHeight="1">
      <c r="A57" s="15">
        <v>2024</v>
      </c>
      <c r="B57" s="22">
        <f t="shared" si="6"/>
        <v>351.3</v>
      </c>
      <c r="C57" s="19">
        <v>-16.8</v>
      </c>
      <c r="D57" s="19">
        <f t="shared" si="7"/>
        <v>213.8</v>
      </c>
      <c r="F57" s="15">
        <v>2024</v>
      </c>
      <c r="G57" s="20">
        <v>10.99</v>
      </c>
      <c r="H57" s="20">
        <v>160</v>
      </c>
      <c r="I57" s="20">
        <f>G57-G56</f>
        <v>6.766</v>
      </c>
      <c r="J57" s="23"/>
    </row>
    <row r="58" spans="1:10" ht="15.75" customHeight="1">
      <c r="F58" s="23"/>
      <c r="G58" s="23"/>
      <c r="H58" s="23"/>
      <c r="I58" s="23"/>
      <c r="J58" s="23"/>
    </row>
    <row r="59" spans="1:10" ht="27.75" customHeight="1">
      <c r="A59" s="33"/>
      <c r="B59" s="52" t="s">
        <v>37</v>
      </c>
      <c r="C59" s="53"/>
      <c r="D59" s="33"/>
      <c r="F59" s="54" t="s">
        <v>62</v>
      </c>
      <c r="G59" s="54"/>
      <c r="H59" s="54"/>
      <c r="I59" s="54"/>
      <c r="J59" s="37"/>
    </row>
    <row r="60" spans="1:10" ht="15.75" customHeight="1">
      <c r="A60" s="18">
        <v>7.0000000000000007E-2</v>
      </c>
      <c r="B60" s="2"/>
      <c r="C60" s="2"/>
      <c r="D60" s="2"/>
      <c r="F60" s="55">
        <f>100-F15-F26-F38-F49</f>
        <v>53.7</v>
      </c>
      <c r="G60" s="9"/>
      <c r="H60" s="9"/>
      <c r="I60" s="38"/>
      <c r="J60" s="39"/>
    </row>
    <row r="61" spans="1:10" ht="15.75" customHeight="1">
      <c r="A61" s="2" t="s">
        <v>13</v>
      </c>
      <c r="B61" s="2" t="s">
        <v>15</v>
      </c>
      <c r="C61" s="2" t="s">
        <v>5</v>
      </c>
      <c r="D61" s="2" t="s">
        <v>6</v>
      </c>
      <c r="F61" s="9" t="s">
        <v>13</v>
      </c>
      <c r="G61" s="9" t="s">
        <v>15</v>
      </c>
      <c r="H61" s="9" t="s">
        <v>38</v>
      </c>
      <c r="I61" s="38" t="s">
        <v>6</v>
      </c>
      <c r="J61" s="39"/>
    </row>
    <row r="62" spans="1:10" ht="15.75" customHeight="1">
      <c r="A62" s="10">
        <v>2018</v>
      </c>
      <c r="B62" s="22">
        <v>42.2</v>
      </c>
      <c r="C62" s="2"/>
      <c r="D62" s="2"/>
      <c r="F62" s="10">
        <v>2018</v>
      </c>
      <c r="G62" s="9">
        <f>G3-G17-G28-G40-G51</f>
        <v>134.57</v>
      </c>
      <c r="H62" s="9"/>
      <c r="I62" s="38"/>
      <c r="J62" s="39"/>
    </row>
    <row r="63" spans="1:10" ht="15.75" customHeight="1">
      <c r="A63" s="10">
        <v>2019</v>
      </c>
      <c r="B63" s="22">
        <v>35.9</v>
      </c>
      <c r="C63" s="2">
        <v>-14.9</v>
      </c>
      <c r="D63" s="22">
        <v>-6.29</v>
      </c>
      <c r="F63" s="10">
        <v>2019</v>
      </c>
      <c r="G63" s="9">
        <f t="shared" ref="G63:G68" si="8">G4-G18-G29-G41-G52</f>
        <v>66.38</v>
      </c>
      <c r="H63" s="20">
        <v>-15.3</v>
      </c>
      <c r="I63" s="40">
        <v>-6.11</v>
      </c>
      <c r="J63" s="39"/>
    </row>
    <row r="64" spans="1:10" ht="15.75" customHeight="1">
      <c r="A64" s="10">
        <v>2020</v>
      </c>
      <c r="B64" s="22">
        <v>12.9</v>
      </c>
      <c r="C64" s="2">
        <v>-63.9</v>
      </c>
      <c r="D64" s="22">
        <v>-23</v>
      </c>
      <c r="F64" s="10">
        <v>2020</v>
      </c>
      <c r="G64" s="9">
        <f t="shared" si="8"/>
        <v>164.1592</v>
      </c>
      <c r="H64" s="20">
        <v>-33.6</v>
      </c>
      <c r="I64" s="40">
        <v>-11</v>
      </c>
      <c r="J64" s="39"/>
    </row>
    <row r="65" spans="1:10" ht="15.75" customHeight="1">
      <c r="A65" s="15">
        <v>2021</v>
      </c>
      <c r="B65" s="22">
        <v>42.2</v>
      </c>
      <c r="C65" s="2">
        <v>226.2</v>
      </c>
      <c r="D65" s="19">
        <v>29.3</v>
      </c>
      <c r="F65" s="15">
        <v>2021</v>
      </c>
      <c r="G65" s="9">
        <f t="shared" si="8"/>
        <v>393.35</v>
      </c>
      <c r="H65" s="20">
        <v>40.299999999999997</v>
      </c>
      <c r="I65" s="40">
        <v>9.0419999999999998</v>
      </c>
      <c r="J65" s="39"/>
    </row>
    <row r="66" spans="1:10" ht="15.75" customHeight="1">
      <c r="A66" s="15">
        <v>2022</v>
      </c>
      <c r="B66" s="22">
        <v>178</v>
      </c>
      <c r="C66" s="2">
        <v>321.8</v>
      </c>
      <c r="D66" s="22">
        <v>136</v>
      </c>
      <c r="F66" s="15">
        <v>2022</v>
      </c>
      <c r="G66" s="9">
        <f t="shared" si="8"/>
        <v>521.85</v>
      </c>
      <c r="H66" s="20">
        <v>36.9</v>
      </c>
      <c r="I66" s="44">
        <v>11.6</v>
      </c>
      <c r="J66" s="39"/>
    </row>
    <row r="67" spans="1:10" ht="15.75" customHeight="1">
      <c r="A67" s="15">
        <v>2023</v>
      </c>
      <c r="B67" s="22">
        <v>117.3</v>
      </c>
      <c r="C67" s="2">
        <v>-34</v>
      </c>
      <c r="D67" s="22">
        <f>B67-B66</f>
        <v>-60.7</v>
      </c>
      <c r="F67" s="15">
        <v>2023</v>
      </c>
      <c r="G67" s="9">
        <f t="shared" si="8"/>
        <v>131.816</v>
      </c>
      <c r="H67" s="2">
        <v>-34</v>
      </c>
      <c r="I67" s="22">
        <f>G67-G66</f>
        <v>-390.03399999999999</v>
      </c>
      <c r="J67" s="23"/>
    </row>
    <row r="68" spans="1:10" ht="15.75" customHeight="1">
      <c r="A68" s="15">
        <v>2024</v>
      </c>
      <c r="B68" s="22">
        <v>174.5</v>
      </c>
      <c r="C68" s="2">
        <v>48.8</v>
      </c>
      <c r="D68" s="22">
        <v>57.2</v>
      </c>
      <c r="F68" s="15">
        <v>2024</v>
      </c>
      <c r="G68" s="9">
        <f t="shared" si="8"/>
        <v>66.61</v>
      </c>
      <c r="H68" s="2">
        <v>48.8</v>
      </c>
      <c r="I68" s="22">
        <v>57.2</v>
      </c>
      <c r="J68" s="23"/>
    </row>
    <row r="69" spans="1:10" ht="15.75" customHeight="1">
      <c r="F69" s="23"/>
      <c r="G69" s="23"/>
      <c r="H69" s="23"/>
      <c r="I69" s="23"/>
      <c r="J69" s="23"/>
    </row>
    <row r="70" spans="1:10" ht="15.75" customHeight="1"/>
    <row r="71" spans="1:10" ht="15.75" customHeight="1">
      <c r="A71" s="41"/>
      <c r="B71" s="41"/>
      <c r="C71" s="41"/>
      <c r="D71" s="41"/>
      <c r="E71" s="42"/>
      <c r="F71" s="42" t="s">
        <v>39</v>
      </c>
      <c r="G71" s="42"/>
      <c r="H71" s="41"/>
      <c r="I71" s="41"/>
      <c r="J71" s="41"/>
    </row>
    <row r="72" spans="1:10" ht="15.75" customHeight="1"/>
    <row r="73" spans="1:10" ht="15.75" customHeight="1"/>
    <row r="74" spans="1:10" ht="24.75" customHeight="1">
      <c r="A74" s="45" t="s">
        <v>0</v>
      </c>
      <c r="B74" s="45"/>
      <c r="C74" s="45"/>
      <c r="D74" s="45"/>
      <c r="F74" s="8"/>
      <c r="G74" s="46" t="s">
        <v>1</v>
      </c>
      <c r="H74" s="46"/>
      <c r="I74" s="8"/>
    </row>
    <row r="75" spans="1:10" ht="15.75" customHeight="1">
      <c r="A75" s="35"/>
      <c r="B75" s="9" t="s">
        <v>40</v>
      </c>
      <c r="C75" s="9" t="s">
        <v>41</v>
      </c>
      <c r="D75" s="35"/>
      <c r="E75" s="23"/>
      <c r="F75" s="35"/>
      <c r="G75" s="9" t="s">
        <v>42</v>
      </c>
      <c r="H75" s="9" t="s">
        <v>41</v>
      </c>
      <c r="I75" s="35"/>
    </row>
    <row r="76" spans="1:10" ht="15.75" customHeight="1">
      <c r="A76" s="9" t="s">
        <v>43</v>
      </c>
      <c r="B76" s="20">
        <v>47.3</v>
      </c>
      <c r="C76" s="20">
        <v>1200</v>
      </c>
      <c r="D76" s="35"/>
      <c r="E76" s="23"/>
      <c r="F76" s="9" t="s">
        <v>43</v>
      </c>
      <c r="G76" s="20">
        <v>38.9</v>
      </c>
      <c r="H76" s="20">
        <v>49</v>
      </c>
      <c r="I76" s="35"/>
    </row>
    <row r="77" spans="1:10" ht="15.75" customHeight="1">
      <c r="A77" s="9" t="s">
        <v>44</v>
      </c>
      <c r="B77" s="20">
        <v>7.5</v>
      </c>
      <c r="C77" s="20">
        <v>186.7</v>
      </c>
      <c r="D77" s="35"/>
      <c r="E77" s="23"/>
      <c r="F77" s="9" t="s">
        <v>45</v>
      </c>
      <c r="G77" s="20">
        <v>12</v>
      </c>
      <c r="H77" s="20">
        <v>15.1</v>
      </c>
      <c r="I77" s="35"/>
    </row>
    <row r="78" spans="1:10" ht="15.75" customHeight="1">
      <c r="A78" s="9" t="s">
        <v>46</v>
      </c>
      <c r="B78" s="20">
        <v>5.0999999999999996</v>
      </c>
      <c r="C78" s="20">
        <v>127.1</v>
      </c>
      <c r="D78" s="35"/>
      <c r="E78" s="23"/>
      <c r="F78" s="9" t="s">
        <v>47</v>
      </c>
      <c r="G78" s="20">
        <v>10.199999999999999</v>
      </c>
      <c r="H78" s="20">
        <v>12.8</v>
      </c>
      <c r="I78" s="35"/>
    </row>
    <row r="79" spans="1:10" ht="15.75" customHeight="1">
      <c r="A79" s="9" t="s">
        <v>48</v>
      </c>
      <c r="B79" s="20">
        <v>4.8</v>
      </c>
      <c r="C79" s="20">
        <v>120.6</v>
      </c>
      <c r="D79" s="35"/>
      <c r="E79" s="23"/>
      <c r="F79" s="9" t="s">
        <v>49</v>
      </c>
      <c r="G79" s="20">
        <v>7.4</v>
      </c>
      <c r="H79" s="20">
        <v>9.3000000000000007</v>
      </c>
      <c r="I79" s="35"/>
    </row>
    <row r="80" spans="1:10" ht="15.75" customHeight="1">
      <c r="A80" s="43" t="s">
        <v>50</v>
      </c>
      <c r="B80" s="20">
        <v>4.0999999999999996</v>
      </c>
      <c r="C80" s="20">
        <v>101.9</v>
      </c>
      <c r="D80" s="35"/>
      <c r="E80" s="23"/>
      <c r="F80" s="9" t="s">
        <v>51</v>
      </c>
      <c r="G80" s="20">
        <v>6.8</v>
      </c>
      <c r="H80" s="20">
        <v>8.5</v>
      </c>
      <c r="I80" s="35"/>
    </row>
    <row r="81" spans="1:9" ht="15.75" customHeight="1">
      <c r="A81" s="23"/>
      <c r="B81" s="23"/>
      <c r="C81" s="23"/>
      <c r="D81" s="23"/>
      <c r="E81" s="23"/>
      <c r="F81" s="23"/>
      <c r="G81" s="23"/>
      <c r="H81" s="23"/>
      <c r="I81" s="23"/>
    </row>
    <row r="82" spans="1:9" ht="15.75" customHeight="1"/>
    <row r="83" spans="1:9" ht="15.75" customHeight="1"/>
    <row r="84" spans="1:9" ht="15.75" customHeight="1"/>
    <row r="85" spans="1:9" ht="15.75" customHeight="1"/>
    <row r="86" spans="1:9" ht="15.75" customHeight="1"/>
    <row r="87" spans="1:9" ht="15.75" customHeight="1"/>
    <row r="88" spans="1:9" ht="15.75" customHeight="1"/>
    <row r="89" spans="1:9" ht="15.75" customHeight="1"/>
    <row r="90" spans="1:9" ht="15.75" customHeight="1"/>
    <row r="91" spans="1:9" ht="15.75" customHeight="1"/>
    <row r="92" spans="1:9" ht="15.75" customHeight="1"/>
    <row r="93" spans="1:9" ht="15.75" customHeight="1"/>
    <row r="94" spans="1:9" ht="15.75" customHeight="1"/>
    <row r="95" spans="1:9" ht="15.75" customHeight="1"/>
    <row r="96" spans="1:9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2">
    <mergeCell ref="A74:D74"/>
    <mergeCell ref="G74:H74"/>
    <mergeCell ref="F36:I36"/>
    <mergeCell ref="F37:I37"/>
    <mergeCell ref="F48:I48"/>
    <mergeCell ref="B59:C59"/>
    <mergeCell ref="F59:I59"/>
    <mergeCell ref="A1:D1"/>
    <mergeCell ref="G1:H1"/>
    <mergeCell ref="L1:M1"/>
    <mergeCell ref="A14:D14"/>
    <mergeCell ref="G25:H25"/>
  </mergeCells>
  <pageMargins left="0.51180555555555496" right="0.51180555555555496" top="0.78749999999999998" bottom="0.78749999999999998" header="0.51180555555555496" footer="0.51180555555555496"/>
  <pageSetup paperSize="9" firstPageNumber="0"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zoomScale="176" zoomScaleNormal="176" workbookViewId="0">
      <selection activeCell="D12" sqref="D12"/>
    </sheetView>
  </sheetViews>
  <sheetFormatPr defaultColWidth="11.42578125" defaultRowHeight="12.75"/>
  <cols>
    <col min="2" max="2" width="18.7109375" style="1" customWidth="1"/>
  </cols>
  <sheetData>
    <row r="1" spans="1:2" ht="14.25">
      <c r="A1" s="7" t="s">
        <v>52</v>
      </c>
      <c r="B1" s="1" t="s">
        <v>53</v>
      </c>
    </row>
    <row r="2" spans="1:2" ht="14.25">
      <c r="A2" s="5">
        <v>2012</v>
      </c>
      <c r="B2" s="1">
        <v>64000000</v>
      </c>
    </row>
    <row r="3" spans="1:2" ht="14.25">
      <c r="A3" s="5">
        <v>2013</v>
      </c>
      <c r="B3" s="1">
        <v>70200000</v>
      </c>
    </row>
    <row r="4" spans="1:2" ht="14.25">
      <c r="A4" s="5">
        <v>2014</v>
      </c>
      <c r="B4" s="1">
        <v>85900000</v>
      </c>
    </row>
    <row r="5" spans="1:2" ht="14.25">
      <c r="A5" s="5">
        <v>2015</v>
      </c>
      <c r="B5" s="1">
        <v>90100000</v>
      </c>
    </row>
    <row r="6" spans="1:2" ht="14.25">
      <c r="A6" s="5">
        <v>2016</v>
      </c>
      <c r="B6" s="1">
        <v>63300000</v>
      </c>
    </row>
    <row r="7" spans="1:2" ht="14.25">
      <c r="A7" s="5">
        <v>2017</v>
      </c>
      <c r="B7" s="1">
        <v>95100000</v>
      </c>
    </row>
    <row r="8" spans="1:2" ht="14.25">
      <c r="A8" s="5">
        <v>2018</v>
      </c>
      <c r="B8" s="1">
        <v>1200000000</v>
      </c>
    </row>
    <row r="9" spans="1:2" ht="14.25">
      <c r="A9" s="5">
        <v>2019</v>
      </c>
      <c r="B9" s="1">
        <v>1110000000</v>
      </c>
    </row>
    <row r="10" spans="1:2">
      <c r="A10" s="2">
        <v>2020</v>
      </c>
      <c r="B10" s="1">
        <v>1370000000</v>
      </c>
    </row>
    <row r="11" spans="1:2">
      <c r="A11" s="2">
        <v>2022</v>
      </c>
      <c r="B11" s="1">
        <v>1850000000</v>
      </c>
    </row>
    <row r="12" spans="1:2">
      <c r="A12" s="2">
        <v>2022</v>
      </c>
      <c r="B12" s="1">
        <v>3100000000</v>
      </c>
    </row>
    <row r="13" spans="1:2">
      <c r="A13" s="2">
        <v>2023</v>
      </c>
      <c r="B13" s="1">
        <v>3010000000</v>
      </c>
    </row>
    <row r="14" spans="1:2">
      <c r="A14" s="2">
        <v>2024</v>
      </c>
      <c r="B14" s="1">
        <v>2500000000</v>
      </c>
    </row>
  </sheetData>
  <pageMargins left="0.78749999999999998" right="0.78749999999999998" top="1.05277777777778" bottom="1.05277777777778" header="0.78749999999999998" footer="0.78749999999999998"/>
  <pageSetup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zoomScale="170" zoomScaleNormal="170" workbookViewId="0">
      <selection activeCell="B15" sqref="B15"/>
    </sheetView>
  </sheetViews>
  <sheetFormatPr defaultColWidth="11.42578125" defaultRowHeight="12.75"/>
  <cols>
    <col min="2" max="2" width="17.5703125" style="1" customWidth="1"/>
  </cols>
  <sheetData>
    <row r="1" spans="1:2">
      <c r="A1" s="2" t="s">
        <v>52</v>
      </c>
      <c r="B1" s="1" t="s">
        <v>53</v>
      </c>
    </row>
    <row r="2" spans="1:2" ht="14.25">
      <c r="A2" s="5">
        <v>2012</v>
      </c>
      <c r="B2" s="1">
        <v>126000000</v>
      </c>
    </row>
    <row r="3" spans="1:2" ht="14.25">
      <c r="A3" s="5">
        <v>2013</v>
      </c>
      <c r="B3" s="1">
        <v>185000000</v>
      </c>
    </row>
    <row r="4" spans="1:2" ht="14.25">
      <c r="A4" s="5">
        <v>2014</v>
      </c>
      <c r="B4" s="1">
        <v>237000000</v>
      </c>
    </row>
    <row r="5" spans="1:2" ht="14.25">
      <c r="A5" s="5">
        <v>2015</v>
      </c>
      <c r="B5" s="1">
        <v>143000000</v>
      </c>
    </row>
    <row r="6" spans="1:2" ht="14.25">
      <c r="A6" s="5">
        <v>2016</v>
      </c>
      <c r="B6" s="1">
        <v>117000000</v>
      </c>
    </row>
    <row r="7" spans="1:2" ht="14.25">
      <c r="A7" s="5">
        <v>2017</v>
      </c>
      <c r="B7" s="1">
        <v>216000000</v>
      </c>
    </row>
    <row r="8" spans="1:2" ht="14.25">
      <c r="A8" s="5">
        <v>2018</v>
      </c>
      <c r="B8" s="1">
        <v>230000000</v>
      </c>
    </row>
    <row r="9" spans="1:2" ht="14.25">
      <c r="A9" s="5">
        <v>2019</v>
      </c>
      <c r="B9" s="1">
        <v>175000000</v>
      </c>
    </row>
    <row r="10" spans="1:2">
      <c r="A10" s="2">
        <v>2020</v>
      </c>
      <c r="B10" s="1">
        <v>254000000</v>
      </c>
    </row>
    <row r="11" spans="1:2">
      <c r="A11" s="2">
        <v>2021</v>
      </c>
      <c r="B11" s="1">
        <v>614000000</v>
      </c>
    </row>
    <row r="12" spans="1:2" ht="14.25">
      <c r="A12" s="6">
        <v>2022</v>
      </c>
      <c r="B12" s="1">
        <v>881000000</v>
      </c>
    </row>
    <row r="13" spans="1:2" ht="14.25">
      <c r="A13" s="6">
        <v>2023</v>
      </c>
      <c r="B13" s="1">
        <v>271000000</v>
      </c>
    </row>
    <row r="14" spans="1:2" ht="14.25">
      <c r="A14" s="6">
        <v>2024</v>
      </c>
      <c r="B14" s="1">
        <v>125000000</v>
      </c>
    </row>
  </sheetData>
  <pageMargins left="0.78749999999999998" right="0.78749999999999998" top="1.05277777777778" bottom="1.05277777777778" header="0.78749999999999998" footer="0.78749999999999998"/>
  <pageSetup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topLeftCell="A3" zoomScale="162" zoomScaleNormal="162" workbookViewId="0">
      <selection activeCell="B15" sqref="B15"/>
    </sheetView>
  </sheetViews>
  <sheetFormatPr defaultColWidth="11.42578125" defaultRowHeight="12.75"/>
  <cols>
    <col min="2" max="2" width="18.85546875" style="1" customWidth="1"/>
  </cols>
  <sheetData>
    <row r="1" spans="1:2">
      <c r="A1" s="2" t="s">
        <v>52</v>
      </c>
      <c r="B1" s="1" t="s">
        <v>53</v>
      </c>
    </row>
    <row r="2" spans="1:2" ht="14.25">
      <c r="A2" s="5">
        <v>2012</v>
      </c>
      <c r="B2" s="1">
        <v>514000000</v>
      </c>
    </row>
    <row r="3" spans="1:2" ht="14.25">
      <c r="A3" s="5">
        <v>2013</v>
      </c>
      <c r="B3" s="1">
        <v>517000000</v>
      </c>
    </row>
    <row r="4" spans="1:2" ht="14.25">
      <c r="A4" s="5">
        <v>2014</v>
      </c>
      <c r="B4" s="1">
        <v>622000000</v>
      </c>
    </row>
    <row r="5" spans="1:2" ht="14.25">
      <c r="A5" s="5">
        <v>2015</v>
      </c>
      <c r="B5" s="1">
        <v>758000000</v>
      </c>
    </row>
    <row r="6" spans="1:2" ht="14.25">
      <c r="A6" s="5">
        <v>2016</v>
      </c>
      <c r="B6" s="1">
        <v>516000000</v>
      </c>
    </row>
    <row r="7" spans="1:2" ht="14.25">
      <c r="A7" s="5">
        <v>2017</v>
      </c>
      <c r="B7" s="1">
        <v>735000000</v>
      </c>
    </row>
    <row r="8" spans="1:2" ht="14.25">
      <c r="A8" s="5">
        <v>2018</v>
      </c>
      <c r="B8" s="1">
        <v>975000000</v>
      </c>
    </row>
    <row r="9" spans="1:2" ht="14.25">
      <c r="A9" s="5">
        <v>2019</v>
      </c>
      <c r="B9" s="1">
        <v>935000000</v>
      </c>
    </row>
    <row r="10" spans="1:2" ht="14.25">
      <c r="A10" s="5">
        <v>2020</v>
      </c>
      <c r="B10" s="1">
        <v>1110000000</v>
      </c>
    </row>
    <row r="11" spans="1:2" ht="14.25">
      <c r="A11" s="6">
        <v>2021</v>
      </c>
      <c r="B11" s="1">
        <v>1230000000</v>
      </c>
    </row>
    <row r="12" spans="1:2" ht="14.25">
      <c r="A12" s="6">
        <v>2022</v>
      </c>
      <c r="B12" s="1">
        <v>2200000000</v>
      </c>
    </row>
    <row r="13" spans="1:2" ht="14.25">
      <c r="A13" s="6">
        <v>2023</v>
      </c>
      <c r="B13" s="1">
        <f>export!B13-import!B13</f>
        <v>2739000000</v>
      </c>
    </row>
    <row r="14" spans="1:2" ht="14.25">
      <c r="A14" s="6">
        <v>2024</v>
      </c>
      <c r="B14" s="1">
        <f>export!B14-import!B14</f>
        <v>2375000000</v>
      </c>
    </row>
  </sheetData>
  <pageMargins left="0.78749999999999998" right="0.78749999999999998" top="1.05277777777778" bottom="1.05277777777778" header="0.78749999999999998" footer="0.78749999999999998"/>
  <pageSetup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"/>
  <sheetViews>
    <sheetView topLeftCell="A25" zoomScale="130" zoomScaleNormal="130" workbookViewId="0">
      <selection activeCell="B34" sqref="B34"/>
    </sheetView>
  </sheetViews>
  <sheetFormatPr defaultColWidth="11.42578125" defaultRowHeight="12.75"/>
  <cols>
    <col min="3" max="3" width="18.42578125" style="1" customWidth="1"/>
  </cols>
  <sheetData>
    <row r="1" spans="1:5">
      <c r="A1" t="s">
        <v>52</v>
      </c>
      <c r="B1" t="s">
        <v>54</v>
      </c>
      <c r="C1" s="1" t="s">
        <v>53</v>
      </c>
    </row>
    <row r="2" spans="1:5">
      <c r="A2" s="2">
        <v>2017</v>
      </c>
      <c r="B2" t="s">
        <v>12</v>
      </c>
      <c r="C2" s="1">
        <v>756000000</v>
      </c>
      <c r="E2" t="s">
        <v>55</v>
      </c>
    </row>
    <row r="3" spans="1:5">
      <c r="A3" s="2">
        <v>2018</v>
      </c>
      <c r="B3" t="s">
        <v>12</v>
      </c>
      <c r="C3" s="1">
        <v>995000000</v>
      </c>
    </row>
    <row r="4" spans="1:5">
      <c r="A4" s="2">
        <v>2019</v>
      </c>
      <c r="B4" t="s">
        <v>12</v>
      </c>
      <c r="C4" s="1">
        <v>773000000</v>
      </c>
    </row>
    <row r="5" spans="1:5">
      <c r="A5" s="2">
        <v>2020</v>
      </c>
      <c r="B5" t="s">
        <v>12</v>
      </c>
      <c r="C5" s="1">
        <v>872000000</v>
      </c>
    </row>
    <row r="6" spans="1:5">
      <c r="A6" s="2">
        <v>2021</v>
      </c>
      <c r="B6" t="s">
        <v>12</v>
      </c>
      <c r="C6" s="1">
        <v>1280000000</v>
      </c>
    </row>
    <row r="7" spans="1:5">
      <c r="A7" s="2">
        <v>2022</v>
      </c>
      <c r="B7" s="3" t="s">
        <v>12</v>
      </c>
      <c r="C7" s="1">
        <v>1800000000</v>
      </c>
    </row>
    <row r="8" spans="1:5">
      <c r="A8" s="2">
        <v>2023</v>
      </c>
      <c r="B8" s="3" t="s">
        <v>12</v>
      </c>
      <c r="C8" s="1">
        <v>1908000000</v>
      </c>
    </row>
    <row r="9" spans="1:5">
      <c r="A9" s="2">
        <v>2024</v>
      </c>
      <c r="B9" s="3" t="s">
        <v>12</v>
      </c>
      <c r="C9" s="1">
        <v>1350000000</v>
      </c>
    </row>
    <row r="10" spans="1:5">
      <c r="A10" s="2">
        <v>2017</v>
      </c>
      <c r="B10" t="s">
        <v>56</v>
      </c>
      <c r="C10" s="1">
        <v>96900000</v>
      </c>
      <c r="E10" t="s">
        <v>55</v>
      </c>
    </row>
    <row r="11" spans="1:5">
      <c r="A11" s="2">
        <v>2018</v>
      </c>
      <c r="B11" t="s">
        <v>56</v>
      </c>
      <c r="C11" s="1">
        <v>117000000</v>
      </c>
    </row>
    <row r="12" spans="1:5">
      <c r="A12" s="2">
        <v>2019</v>
      </c>
      <c r="B12" t="s">
        <v>56</v>
      </c>
      <c r="C12" s="1">
        <v>177000000</v>
      </c>
    </row>
    <row r="13" spans="1:5">
      <c r="A13" s="2">
        <v>2020</v>
      </c>
      <c r="B13" t="s">
        <v>56</v>
      </c>
      <c r="C13" s="1">
        <v>325000000</v>
      </c>
    </row>
    <row r="14" spans="1:5">
      <c r="A14" s="2">
        <v>2021</v>
      </c>
      <c r="B14" t="s">
        <v>56</v>
      </c>
      <c r="C14" s="1">
        <v>362000000</v>
      </c>
    </row>
    <row r="15" spans="1:5">
      <c r="A15" s="2">
        <v>2022</v>
      </c>
      <c r="B15" s="3" t="s">
        <v>56</v>
      </c>
      <c r="C15" s="1">
        <v>573000000</v>
      </c>
    </row>
    <row r="16" spans="1:5">
      <c r="A16" s="2">
        <v>2023</v>
      </c>
      <c r="B16" s="3" t="s">
        <v>56</v>
      </c>
      <c r="C16" s="1">
        <v>403000000</v>
      </c>
    </row>
    <row r="17" spans="1:3">
      <c r="A17" s="2">
        <v>2024</v>
      </c>
      <c r="B17" s="3" t="s">
        <v>56</v>
      </c>
      <c r="C17" s="1">
        <v>443000000</v>
      </c>
    </row>
    <row r="18" spans="1:3">
      <c r="A18" s="2">
        <v>2017</v>
      </c>
      <c r="B18" t="s">
        <v>57</v>
      </c>
      <c r="C18" s="1">
        <v>53300000</v>
      </c>
    </row>
    <row r="19" spans="1:3">
      <c r="A19" s="2">
        <v>2018</v>
      </c>
      <c r="B19" t="s">
        <v>57</v>
      </c>
      <c r="C19" s="1">
        <v>15300000</v>
      </c>
    </row>
    <row r="20" spans="1:3">
      <c r="A20" s="2">
        <v>2019</v>
      </c>
      <c r="B20" t="s">
        <v>57</v>
      </c>
      <c r="C20" s="1">
        <v>75800000</v>
      </c>
    </row>
    <row r="21" spans="1:3">
      <c r="A21" s="2">
        <v>2020</v>
      </c>
      <c r="B21" t="s">
        <v>57</v>
      </c>
      <c r="C21" s="1">
        <v>121000000</v>
      </c>
    </row>
    <row r="22" spans="1:3">
      <c r="A22" s="2">
        <v>2021</v>
      </c>
      <c r="B22" t="s">
        <v>57</v>
      </c>
      <c r="C22" s="1">
        <v>108000000</v>
      </c>
    </row>
    <row r="23" spans="1:3">
      <c r="A23" s="4">
        <v>2022</v>
      </c>
      <c r="B23" s="3" t="s">
        <v>57</v>
      </c>
      <c r="C23" s="1">
        <v>422000000</v>
      </c>
    </row>
    <row r="24" spans="1:3">
      <c r="A24" s="2">
        <v>2023</v>
      </c>
      <c r="B24" s="3" t="s">
        <v>57</v>
      </c>
      <c r="C24" s="1">
        <v>448200000</v>
      </c>
    </row>
    <row r="25" spans="1:3">
      <c r="A25" s="2">
        <v>2024</v>
      </c>
      <c r="B25" s="3" t="s">
        <v>57</v>
      </c>
      <c r="C25" s="1">
        <v>185200000</v>
      </c>
    </row>
    <row r="26" spans="1:3">
      <c r="A26" s="2">
        <v>2017</v>
      </c>
      <c r="B26" s="3" t="s">
        <v>58</v>
      </c>
      <c r="C26" s="1">
        <v>802000</v>
      </c>
    </row>
    <row r="27" spans="1:3">
      <c r="A27" s="2">
        <v>2018</v>
      </c>
      <c r="B27" s="3" t="s">
        <v>58</v>
      </c>
      <c r="C27" s="1">
        <v>42200000</v>
      </c>
    </row>
    <row r="28" spans="1:3">
      <c r="A28" s="2">
        <v>2019</v>
      </c>
      <c r="B28" s="3" t="s">
        <v>58</v>
      </c>
      <c r="C28" s="1">
        <v>35900000</v>
      </c>
    </row>
    <row r="29" spans="1:3">
      <c r="A29" s="2">
        <v>2020</v>
      </c>
      <c r="B29" s="3" t="s">
        <v>58</v>
      </c>
      <c r="C29" s="1">
        <v>12900000</v>
      </c>
    </row>
    <row r="30" spans="1:3">
      <c r="A30" s="2">
        <v>2021</v>
      </c>
      <c r="B30" s="3" t="s">
        <v>58</v>
      </c>
      <c r="C30" s="1">
        <v>42200000</v>
      </c>
    </row>
    <row r="31" spans="1:3">
      <c r="A31" s="2">
        <v>2022</v>
      </c>
      <c r="B31" s="3" t="s">
        <v>58</v>
      </c>
      <c r="C31" s="1">
        <v>178000000</v>
      </c>
    </row>
    <row r="32" spans="1:3">
      <c r="A32" s="2">
        <v>2023</v>
      </c>
      <c r="B32" s="3" t="s">
        <v>58</v>
      </c>
      <c r="C32" s="1">
        <v>117300000</v>
      </c>
    </row>
    <row r="33" spans="1:3">
      <c r="A33" s="2">
        <v>2024</v>
      </c>
      <c r="B33" s="3" t="s">
        <v>58</v>
      </c>
      <c r="C33" s="1">
        <v>174500000</v>
      </c>
    </row>
    <row r="34" spans="1:3">
      <c r="A34" s="2">
        <v>2018</v>
      </c>
      <c r="B34" s="3" t="s">
        <v>33</v>
      </c>
      <c r="C34" s="1">
        <v>30400000</v>
      </c>
    </row>
    <row r="35" spans="1:3">
      <c r="A35" s="2">
        <v>2019</v>
      </c>
      <c r="B35" s="3" t="s">
        <v>63</v>
      </c>
      <c r="C35" s="1">
        <v>33700000</v>
      </c>
    </row>
    <row r="36" spans="1:3">
      <c r="A36" s="2">
        <v>2020</v>
      </c>
      <c r="B36" s="3" t="s">
        <v>63</v>
      </c>
      <c r="C36" s="1">
        <v>26800000</v>
      </c>
    </row>
    <row r="37" spans="1:3">
      <c r="A37" s="2">
        <v>2021</v>
      </c>
      <c r="B37" s="3" t="s">
        <v>33</v>
      </c>
      <c r="C37" s="1">
        <v>36000000</v>
      </c>
    </row>
    <row r="38" spans="1:3">
      <c r="A38" s="2">
        <v>2022</v>
      </c>
      <c r="B38" s="3" t="s">
        <v>33</v>
      </c>
      <c r="C38" s="1">
        <v>39600000</v>
      </c>
    </row>
    <row r="39" spans="1:3">
      <c r="A39" s="2">
        <v>2023</v>
      </c>
      <c r="B39" s="3" t="s">
        <v>33</v>
      </c>
      <c r="C39" s="1">
        <v>137500000</v>
      </c>
    </row>
    <row r="40" spans="1:3">
      <c r="A40" s="2">
        <v>2024</v>
      </c>
      <c r="B40" s="3" t="s">
        <v>33</v>
      </c>
      <c r="C40" s="1">
        <v>351300000</v>
      </c>
    </row>
  </sheetData>
  <pageMargins left="0.78749999999999998" right="0.78749999999999998" top="1.05277777777778" bottom="1.05277777777778" header="0.78749999999999998" footer="0.78749999999999998"/>
  <pageSetup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6"/>
  <sheetViews>
    <sheetView zoomScale="130" zoomScaleNormal="130" workbookViewId="0">
      <selection activeCell="D41" sqref="D41"/>
    </sheetView>
  </sheetViews>
  <sheetFormatPr defaultColWidth="11.42578125" defaultRowHeight="12.75"/>
  <cols>
    <col min="2" max="2" width="26.85546875" customWidth="1"/>
    <col min="3" max="3" width="16.7109375" style="1" bestFit="1" customWidth="1"/>
  </cols>
  <sheetData>
    <row r="1" spans="1:5">
      <c r="A1" t="s">
        <v>52</v>
      </c>
      <c r="B1" t="s">
        <v>54</v>
      </c>
      <c r="C1" s="1" t="s">
        <v>53</v>
      </c>
    </row>
    <row r="2" spans="1:5">
      <c r="A2" s="2">
        <v>2018</v>
      </c>
      <c r="B2" t="s">
        <v>34</v>
      </c>
      <c r="C2" s="1">
        <v>0</v>
      </c>
      <c r="E2" s="3" t="s">
        <v>59</v>
      </c>
    </row>
    <row r="3" spans="1:5">
      <c r="A3" s="2">
        <v>2019</v>
      </c>
      <c r="B3" t="s">
        <v>34</v>
      </c>
      <c r="C3" s="1">
        <v>0</v>
      </c>
    </row>
    <row r="4" spans="1:5">
      <c r="A4" s="2">
        <v>2020</v>
      </c>
      <c r="B4" t="s">
        <v>34</v>
      </c>
      <c r="C4" s="1">
        <v>240800</v>
      </c>
    </row>
    <row r="5" spans="1:5">
      <c r="A5" s="2">
        <v>2021</v>
      </c>
      <c r="B5" t="s">
        <v>34</v>
      </c>
      <c r="C5" s="1">
        <v>2550000</v>
      </c>
    </row>
    <row r="6" spans="1:5">
      <c r="A6" s="2">
        <v>2022</v>
      </c>
      <c r="B6" t="s">
        <v>34</v>
      </c>
      <c r="C6" s="1">
        <v>4650000</v>
      </c>
    </row>
    <row r="7" spans="1:5">
      <c r="A7" s="2">
        <v>2023</v>
      </c>
      <c r="B7" t="s">
        <v>34</v>
      </c>
      <c r="C7" s="1">
        <v>4224000</v>
      </c>
    </row>
    <row r="8" spans="1:5">
      <c r="A8" s="2">
        <v>2024</v>
      </c>
      <c r="B8" t="s">
        <v>34</v>
      </c>
      <c r="C8" s="1">
        <v>10990000</v>
      </c>
    </row>
    <row r="9" spans="1:5">
      <c r="A9" s="2">
        <v>2018</v>
      </c>
      <c r="B9" t="s">
        <v>60</v>
      </c>
      <c r="C9" s="1">
        <v>73300000</v>
      </c>
    </row>
    <row r="10" spans="1:5">
      <c r="A10" s="2">
        <v>2019</v>
      </c>
      <c r="B10" t="s">
        <v>60</v>
      </c>
      <c r="C10" s="1">
        <v>87800000</v>
      </c>
    </row>
    <row r="11" spans="1:5">
      <c r="A11" s="2">
        <v>2020</v>
      </c>
      <c r="B11" t="s">
        <v>60</v>
      </c>
      <c r="C11" s="1">
        <v>53200000</v>
      </c>
    </row>
    <row r="12" spans="1:5">
      <c r="A12" s="2">
        <v>2021</v>
      </c>
      <c r="B12" t="s">
        <v>60</v>
      </c>
      <c r="C12" s="1">
        <v>113000000</v>
      </c>
    </row>
    <row r="13" spans="1:5">
      <c r="A13" s="2">
        <v>2022</v>
      </c>
      <c r="B13" s="3" t="s">
        <v>60</v>
      </c>
      <c r="C13" s="1">
        <v>247000000</v>
      </c>
    </row>
    <row r="14" spans="1:5">
      <c r="A14" s="2">
        <v>2023</v>
      </c>
      <c r="B14" s="3" t="s">
        <v>60</v>
      </c>
      <c r="C14" s="1">
        <v>73460000</v>
      </c>
    </row>
    <row r="15" spans="1:5">
      <c r="A15" s="2">
        <v>2024</v>
      </c>
      <c r="B15" s="3" t="s">
        <v>60</v>
      </c>
      <c r="C15" s="1">
        <v>18700000</v>
      </c>
    </row>
    <row r="16" spans="1:5">
      <c r="A16" s="2">
        <v>2018</v>
      </c>
      <c r="B16" t="s">
        <v>61</v>
      </c>
      <c r="C16" s="1">
        <v>4730000</v>
      </c>
    </row>
    <row r="17" spans="1:3">
      <c r="A17" s="2">
        <v>2019</v>
      </c>
      <c r="B17" t="s">
        <v>61</v>
      </c>
      <c r="C17" s="1">
        <v>1520000</v>
      </c>
    </row>
    <row r="18" spans="1:3">
      <c r="A18" s="2">
        <v>2020</v>
      </c>
      <c r="B18" t="s">
        <v>61</v>
      </c>
      <c r="C18" s="1">
        <v>25000000</v>
      </c>
    </row>
    <row r="19" spans="1:3">
      <c r="A19" s="2">
        <v>2021</v>
      </c>
      <c r="B19" t="s">
        <v>61</v>
      </c>
      <c r="C19" s="1">
        <v>86000000</v>
      </c>
    </row>
    <row r="20" spans="1:3">
      <c r="A20" s="2">
        <v>2022</v>
      </c>
      <c r="B20" s="3" t="s">
        <v>61</v>
      </c>
      <c r="C20" s="1">
        <v>90300000</v>
      </c>
    </row>
    <row r="21" spans="1:3">
      <c r="A21" s="2">
        <v>2023</v>
      </c>
      <c r="B21" s="3" t="s">
        <v>61</v>
      </c>
      <c r="C21" s="1">
        <v>46500000</v>
      </c>
    </row>
    <row r="22" spans="1:3">
      <c r="A22" s="2">
        <v>2024</v>
      </c>
      <c r="B22" s="3" t="s">
        <v>61</v>
      </c>
      <c r="C22" s="1">
        <v>14300000</v>
      </c>
    </row>
    <row r="23" spans="1:3">
      <c r="A23" s="2">
        <v>2018</v>
      </c>
      <c r="B23" s="3" t="s">
        <v>17</v>
      </c>
      <c r="C23" s="1">
        <v>16400000</v>
      </c>
    </row>
    <row r="24" spans="1:3">
      <c r="A24" s="2">
        <v>2019</v>
      </c>
      <c r="B24" s="3" t="s">
        <v>17</v>
      </c>
      <c r="C24" s="1">
        <v>19200000</v>
      </c>
    </row>
    <row r="25" spans="1:3">
      <c r="A25" s="2">
        <v>2020</v>
      </c>
      <c r="B25" s="3" t="s">
        <v>17</v>
      </c>
      <c r="C25" s="1">
        <v>10300000</v>
      </c>
    </row>
    <row r="26" spans="1:3">
      <c r="A26" s="2">
        <v>2021</v>
      </c>
      <c r="B26" s="3" t="s">
        <v>17</v>
      </c>
      <c r="C26" s="1">
        <v>19700000</v>
      </c>
    </row>
    <row r="27" spans="1:3">
      <c r="A27" s="2">
        <v>2022</v>
      </c>
      <c r="B27" s="3" t="s">
        <v>17</v>
      </c>
      <c r="C27" s="1">
        <v>17100000</v>
      </c>
    </row>
    <row r="28" spans="1:3">
      <c r="A28" s="2">
        <v>2023</v>
      </c>
      <c r="B28" s="3" t="s">
        <v>17</v>
      </c>
      <c r="C28" s="1">
        <v>15000000</v>
      </c>
    </row>
    <row r="29" spans="1:3">
      <c r="A29" s="2">
        <v>2024</v>
      </c>
      <c r="B29" s="3" t="s">
        <v>17</v>
      </c>
      <c r="C29" s="1">
        <v>14400000</v>
      </c>
    </row>
    <row r="30" spans="1:3">
      <c r="A30" s="2">
        <v>2018</v>
      </c>
      <c r="B30" s="3" t="s">
        <v>63</v>
      </c>
      <c r="C30" s="1">
        <v>134570000</v>
      </c>
    </row>
    <row r="31" spans="1:3">
      <c r="A31" s="2">
        <v>2019</v>
      </c>
      <c r="B31" s="3" t="s">
        <v>63</v>
      </c>
      <c r="C31" s="1">
        <v>66380000</v>
      </c>
    </row>
    <row r="32" spans="1:3">
      <c r="A32" s="2">
        <v>2020</v>
      </c>
      <c r="B32" s="3" t="s">
        <v>63</v>
      </c>
      <c r="C32" s="1">
        <v>164159200</v>
      </c>
    </row>
    <row r="33" spans="1:3">
      <c r="A33" s="2">
        <v>2021</v>
      </c>
      <c r="B33" s="3" t="s">
        <v>63</v>
      </c>
      <c r="C33" s="1">
        <v>393350000</v>
      </c>
    </row>
    <row r="34" spans="1:3">
      <c r="A34" s="2">
        <v>2022</v>
      </c>
      <c r="B34" s="3" t="s">
        <v>63</v>
      </c>
      <c r="C34" s="1">
        <v>521850000</v>
      </c>
    </row>
    <row r="35" spans="1:3">
      <c r="A35" s="2">
        <v>2023</v>
      </c>
      <c r="B35" s="3" t="s">
        <v>63</v>
      </c>
      <c r="C35" s="1">
        <v>131816000</v>
      </c>
    </row>
    <row r="36" spans="1:3">
      <c r="A36" s="2">
        <v>2024</v>
      </c>
      <c r="B36" s="3" t="s">
        <v>63</v>
      </c>
      <c r="C36" s="1">
        <v>66610000</v>
      </c>
    </row>
  </sheetData>
  <pageMargins left="0.78749999999999998" right="0.78749999999999998" top="1.05277777777778" bottom="1.05277777777778" header="0.78749999999999998" footer="0.78749999999999998"/>
  <pageSetup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BOLETIM 2024</vt:lpstr>
      <vt:lpstr>export</vt:lpstr>
      <vt:lpstr>import</vt:lpstr>
      <vt:lpstr>saldo</vt:lpstr>
      <vt:lpstr>produtos_export</vt:lpstr>
      <vt:lpstr>produtos_import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laralisse carvalho</dc:creator>
  <cp:lastModifiedBy>Lorenzo Miranda</cp:lastModifiedBy>
  <cp:revision>8</cp:revision>
  <dcterms:created xsi:type="dcterms:W3CDTF">2023-07-18T17:49:00Z</dcterms:created>
  <dcterms:modified xsi:type="dcterms:W3CDTF">2025-08-14T22:04:47Z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7B4FDCF497B54457906810C7F5D7166C_12</vt:lpwstr>
  </property>
  <property fmtid="{D5CDD505-2E9C-101B-9397-08002B2CF9AE}" pid="3" name="KSOProductBuildVer">
    <vt:lpwstr>1046-12.2.0.21931</vt:lpwstr>
  </property>
</Properties>
</file>